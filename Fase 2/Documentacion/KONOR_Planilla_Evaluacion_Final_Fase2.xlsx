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836253e1574950" /></Relationships>
</file>

<file path=xl/workbook.xml><?xml version="1.0" encoding="utf-8"?>
<x:workbook xmlns:x="http://schemas.openxmlformats.org/spreadsheetml/2006/main">
  <x:sheets>
    <x:sheet xmlns:r="http://schemas.openxmlformats.org/officeDocument/2006/relationships" name="RUBRICA" sheetId="1" r:id="R9e3520e6245547c6" state="visible"/>
    <x:sheet xmlns:r="http://schemas.openxmlformats.org/officeDocument/2006/relationships" name="EVALUACION1" sheetId="2" r:id="Re8105344637d4037" state="visible"/>
    <x:sheet xmlns:r="http://schemas.openxmlformats.org/officeDocument/2006/relationships" name="ESCALA_IEP" sheetId="3" r:id="Rf0e39437ae94471e" state="hidden"/>
    <x:sheet xmlns:r="http://schemas.openxmlformats.org/officeDocument/2006/relationships" name="ESCALA_PRESENTACION" sheetId="4" r:id="R9077024a9b55435e" state="hidden"/>
    <x:sheet xmlns:r="http://schemas.openxmlformats.org/officeDocument/2006/relationships" name="ESCALA_TRAB_EQUIP" sheetId="5" r:id="R7f274193c9de4d13" state="hidden"/>
    <x:sheet xmlns:r="http://schemas.openxmlformats.org/officeDocument/2006/relationships" name="RELEVANCIA-PUNTAJE" sheetId="6" r:id="R74e7909e8e69427c" state="hidden"/>
  </x:sheets>
  <x:definedNames>
    <x:definedName name="MR_PL">'RELEVANCIA-PUNTAJE'!#REF!</x:definedName>
    <x:definedName name="PL">'RELEVANCIA-PUNTAJE'!#REF!</x:definedName>
    <x:definedName name="PR_PL">'RELEVANCIA-PUNTAJE'!#REF!</x:definedName>
    <x:definedName name="RE_PL">'RELEVANCIA-PUNTAJE'!#REF!</x:definedName>
    <x:definedName name="MR_ML">'RELEVANCIA-PUNTAJE'!$D$3</x:definedName>
    <x:definedName name="NL">'RELEVANCIA-PUNTAJE'!$E$2</x:definedName>
    <x:definedName name="MR_L">'RELEVANCIA-PUNTAJE'!$C$3</x:definedName>
    <x:definedName name="RE_NL">'RELEVANCIA-PUNTAJE'!$E$4</x:definedName>
    <x:definedName name="MR_NL">'RELEVANCIA-PUNTAJE'!$E$3</x:definedName>
    <x:definedName name="MR_CL">'RELEVANCIA-PUNTAJE'!$B$3</x:definedName>
    <x:definedName name="PR_NL">'RELEVANCIA-PUNTAJE'!$E$5</x:definedName>
    <x:definedName name="MR_TL">'RELEVANCIA-PUNTAJE'!$B$3</x:definedName>
    <x:definedName name="CL">'RELEVANCIA-PUNTAJE'!$B$2</x:definedName>
    <x:definedName name="L">'RELEVANCIA-PUNTAJE'!$C$2</x:definedName>
    <x:definedName name="RE">'RELEVANCIA-PUNTAJE'!$A$4</x:definedName>
    <x:definedName name="PR_ML">'RELEVANCIA-PUNTAJE'!$D$5</x:definedName>
    <x:definedName name="TL">'RELEVANCIA-PUNTAJE'!$B$2</x:definedName>
    <x:definedName name="ML">'RELEVANCIA-PUNTAJE'!$D$2</x:definedName>
    <x:definedName name="RE_TL">'RELEVANCIA-PUNTAJE'!$B$4</x:definedName>
    <x:definedName name="MR">'RELEVANCIA-PUNTAJE'!$A$3</x:definedName>
    <x:definedName name="RE_ML">'RELEVANCIA-PUNTAJE'!$D$4</x:definedName>
    <x:definedName name="PR">'RELEVANCIA-PUNTAJE'!$A$5</x:definedName>
    <x:definedName name="PR_TL">'RELEVANCIA-PUNTAJE'!$B$5</x:definedName>
  </x:definedNames>
</x:workbook>
</file>

<file path=xl/sharedStrings.xml><?xml version="1.0" encoding="utf-8"?>
<x:sst xmlns:x="http://schemas.openxmlformats.org/spreadsheetml/2006/main">
  <x:si>
    <x:t xml:space="preserve">Indicador de Evaluación</x:t>
  </x:si>
  <x:si>
    <x:t xml:space="preserve">Categorías de Respuesta</x:t>
  </x:si>
  <x:si>
    <x:t xml:space="preserve">Ponderación del Indicador de Evaluación</x:t>
  </x:si>
  <x:si>
    <x:r>
      <x:rPr>
        <x:b/>
        <x:sz val="11"/>
        <x:color rgb="FFFFFFFF"/>
        <x:rFont val="Calibri"/>
      </x:rPr>
      <x:t xml:space="preserve">Completamente Logrado</x:t>
    </x:r>
    <x:r>
      <x:rPr>
        <x:b/>
        <x:sz val="10"/>
        <x:color rgb="FFFFFFFF"/>
        <x:rFont val="Calibri"/>
      </x:rPr>
      <x:t xml:space="preserve">  (100%)</x:t>
    </x:r>
  </x:si>
  <x:si>
    <x:r>
      <x:rPr>
        <x:b/>
        <x:sz val="11"/>
        <x:color rgb="FFFFFFFF"/>
        <x:rFont val="Calibri"/>
      </x:rPr>
      <x:t xml:space="preserve">Logrado</x:t>
    </x:r>
    <x:r>
      <x:rPr>
        <x:b/>
        <x:sz val="10"/>
        <x:color rgb="FFFFFFFF"/>
        <x:rFont val="Calibri"/>
      </x:rPr>
      <x:t xml:space="preserve">  (60%)</x:t>
    </x:r>
  </x:si>
  <x:si>
    <x:t xml:space="preserve">Logro incipiente </x:t>
  </x:si>
  <x:si>
    <x:t xml:space="preserve">No logrado</x:t>
  </x:si>
  <x:si>
    <x:t xml:space="preserve">1. Implementa una metodología que permite el logro de los objetivos propuestos, de acuerdo a los estándares de la disciplina.</x:t>
  </x:si>
  <x:si>
    <x:t xml:space="preserve">Describe la metodología utilizada de acuerdo a los estándares de la disciplina, alcanzando todos los objetivos propuestos para el proyecto. </x:t>
  </x:si>
  <x:si>
    <x:t xml:space="preserve">Describe la metodología utilizada de acuerdo a los estándares de la disciplina, pero cumple parcialmente los objetivos propuestos para el proyecto. </x:t>
  </x:si>
  <x:si>
    <x:t xml:space="preserve">Describe la metodología utilizada cumpliendo parcialmente con los estándares de la disciplina y con los objetivos propuestos para el proyecto. </x:t>
  </x:si>
  <x:si>
    <x:t xml:space="preserve">Describe la metodología utilizada sin cumplir los estándares de la disciplina ni los objetivos propuestos para el proyecto. </x:t>
  </x:si>
  <x:si>
    <x:t xml:space="preserve">2. Genera evidencias que dan cuenta del cumplimiento del Proyecto CAPSTONE, en relación a documentación, programación y almacenamiento de datos, de acuerdo a lo planificado por el equipo y que cumpla con estándares de desarrollo de la industria</x:t>
  </x:si>
  <x:si>
    <x:t xml:space="preserve">Genera evidencias que dan cuenta del cumplimiento del Proyecto CAPSTONE, en relación a documentación, programación y almacenamiento de datos, de acuerdo a lo planificado por el equipo y que cumpla con estándares de desarrollo de la industria</x:t>
  </x:si>
  <x:si>
    <x:t xml:space="preserve">Genera evidencias que dan cuenta del cumplimiento del Proyecto CAPSTONE, en relación a documentación, programación y almacenamiento de datos, de acuerdo a lo planificado por el equipo y no cumplen con estándares de desarrollo de la industria</x:t>
  </x:si>
  <x:si>
    <x:t xml:space="preserve">Genera evidencias pero ellas no dan cuenta del cumplimiento del Proyecto CAPSTONE, en relación a documentación, programación y almacenamiento de datos, de acuerdo a lo planificado por el equipo, pero si cumple con estándares de desarrollo de la industria</x:t>
  </x:si>
  <x:si>
    <x:t xml:space="preserve">Genera evidencias pero ellas no dan cuenta del cumplimiento del Proyecto CAPSTONE, en relación a documentación, programación y almacenamiento de datos, de acuerdo a lo planificado por el equipo, y no cumplen con estándares de desarrollo de la industria</x:t>
  </x:si>
  <x:si>
    <x:t xml:space="preserve">3. Relaciona el Proyecto APT con sus intereses profesionales. *</x:t>
  </x:si>
  <x:si>
    <x:t xml:space="preserve">Menciona los intereses profesionales y explica con claridad cómo estos se ven reflejados en el proyecto. </x:t>
  </x:si>
  <x:si>
    <x:t xml:space="preserve">Menciona los intereses profesionales, pero no queda completamente clara su conexión con el proyecto.</x:t>
  </x:si>
  <x:si>
    <x:t xml:space="preserve">Menciona los intereses profesionales sin conectarlos con el proyecto. </x:t>
  </x:si>
  <x:si>
    <x:t xml:space="preserve">No menciona los intereses profesionales.</x:t>
  </x:si>
  <x:si>
    <x:t xml:space="preserve">4. Relaciona el Proyecto APT con las competencias del perfil de egreso de su Plan de Estudio.</x:t>
  </x:si>
  <x:si>
    <x:t xml:space="preserve">Describe una relación coherente entre el proyecto y el perfil de egreso del plan de estudio, especificando cómo debe utilizar distintas competencias para desarrollar su Proyecto APT. </x:t>
  </x:si>
  <x:si>
    <x:t xml:space="preserve">Describe una relación coherente entre el proyecto y el perfil de egreso del plan de estudio, pero no especifica cómo debe utilizar distintas competencias para desarrollar su Proyecto APT.</x:t>
  </x:si>
  <x:si>
    <x:t xml:space="preserve">Describe una relación que tiene elementos pero que no son coherentes entre el proyecto y el perfil de egreso del plan de estudio.</x:t>
  </x:si>
  <x:si>
    <x:t xml:space="preserve">Describe una relación sin coherencia entre el proyecto y el perfil de egreso del plan de estudio o no relaciona el proyecto con el perfil de egreso. </x:t>
  </x:si>
  <x:si>
    <x:t xml:space="preserve">5. Utiliza de manera precisa el lenguaje técnico en los entregables de acuerdo con lo requerido por la disciplina.</x:t>
  </x:si>
  <x:si>
    <x:t xml:space="preserve">Utiliza lenguaje técnico de su disciplina en todos los entregables de avance del proyecto. </x:t>
  </x:si>
  <x:si>
    <x:t xml:space="preserve">Utiliza lenguaje técnico de su disciplina en la mayoría de los entregables de avance del proyecto</x:t>
  </x:si>
  <x:si>
    <x:t xml:space="preserve">Utiliza lenguaje técnico de su disciplina en la menos de la mitad de los entregables de avance del proyecto</x:t>
  </x:si>
  <x:si>
    <x:t xml:space="preserve">No utiliza lenguaje técnico de su disciplina en los entregables de avance del proyecto. </x:t>
  </x:si>
  <x:si>
    <x:t xml:space="preserve">6. Utiliza correctamente las reglas de redacción, ortografía (literal, puntual, acentual) y las normas para citas y referencias. </x:t>
  </x:si>
  <x:si>
    <x:t xml:space="preserve">El texto cumple con las reglas ortografía y de redacción en todos sus apartados y utiliza correctamente todas las normas de citación y referencias.</x:t>
  </x:si>
  <x:si>
    <x:t xml:space="preserve">El texto presenta de 1 a 5 errores de ortografía, redacción o en las citas y referencias del informe.</x:t>
  </x:si>
  <x:si>
    <x:t xml:space="preserve">El texto presenta de 6 a 10 errores de ortografía, redacción o en las citas y referencias del informe.</x:t>
  </x:si>
  <x:si>
    <x:t xml:space="preserve">El texto presenta más de 10 errores de ortografía, redacción o en las citas y referencias del informe.</x:t>
  </x:si>
  <x:si>
    <x:t xml:space="preserve">7. Entrega la documentación y evidencias requerida por la asignatura de acuerdo a la estrucutra y nombres solicitados, guardando todas las evidencias de avances en Git</x:t>
  </x:si>
  <x:si>
    <x:t xml:space="preserve">Entrega la documentación y evidencias requeridas por la asignatura de acuerdo a la estrucutra y nombres solicitados, guardando todas las evidencias de avances en Git</x:t>
  </x:si>
  <x:si>
    <x:t xml:space="preserve">Entrega la documentación y evidencias requeridas por la asignatura de acuerdo a la estrucutra y nombres solicitados, guardando algunas de las evidencias de avances en Git</x:t>
  </x:si>
  <x:si>
    <x:t xml:space="preserve">Entrega la documentación y evidencias requeridas por la asignatura sin una la estrucutra y nombres solicitados, guardando algunas de las evidencias de avances en Git</x:t>
  </x:si>
  <x:si>
    <x:t xml:space="preserve">No entrega a través de Git la documentación y evidencias de avance requeridas por la asignatura</x:t>
  </x:si>
  <x:si>
    <x:t xml:space="preserve">8. Expone el tema utilizando un lenguaje técnico disciplinar al presentar la propuesta y responde evidenciando un manejo de la información. *</x:t>
  </x:si>
  <x:si>
    <x:t xml:space="preserve">Expone el tema utilizando un lenguaje técnico disciplinar al presentar la propuesta y responde evidenciando un manejo de la información en todo momento</x:t>
  </x:si>
  <x:si>
    <x:t xml:space="preserve">Expone el tema utilizando un lenguaje técnico disciplinar al presentar la propuesta y responde evidenciando un manejo de la información la mayoría del tiempo.</x:t>
  </x:si>
  <x:si>
    <x:t xml:space="preserve">Expone el tema utilizando un lenguaje técnico disciplinar al presentar la propuesta y responde evidenciando un manejo de la información la mitad del tiempo.</x:t>
  </x:si>
  <x:si>
    <x:t xml:space="preserve">Expone el tema utilizando un lenguaje técnico disciplinar al presentar la propuesta y responde evidenciando un manejo de la información en menos de la mitad del tiempo.</x:t>
  </x:si>
  <x:si>
    <x:t xml:space="preserve">9.-Generan evidencias claras dentro del repositorio  del aporte de cada uno de los integrantes del equipo que permitan identificar la equidad en el trabajo y la participación de cada estudiante.</x:t>
  </x:si>
  <x:si>
    <x:t xml:space="preserve">Generan evidencias dentro del repositorio  del proyecto del aporte de cada uno de los integrantes del equipo que permitan identificar la equidad en el trabajo y la participación de cada estudiante</x:t>
  </x:si>
  <x:si>
    <x:t xml:space="preserve">Generan evidencias dentro del repositorio  del proyecto del aporte de cada uno de los integrantes del equipo pero la evidencia no demuestra una equidad en la participación de cada estudiante</x:t>
  </x:si>
  <x:si>
    <x:t xml:space="preserve">Generan evidencias dentro del repositorio  del proyecto del aporte de cada uno de los integrantes del equipo pero la evidencia no demuestra la participación de algunos(s) participante(s) del equipo</x:t>
  </x:si>
  <x:si>
    <x:t xml:space="preserve">No generan evidencias dentro del repositorio  del proyecto del aporte de cada uno de los integrantes del equipo por lo que no se permite identificar la equidad en el trabajo y la participación de cada estudiante</x:t>
  </x:si>
  <x:si>
    <x:t xml:space="preserve">10. Colaboración y trabajo en equipo *</x:t>
  </x:si>
  <x:si>
    <x:t xml:space="preserve">El estudiante realiza un excelente trabajo en equipo, fomentando un ambiente positivo, siendo participativo con su equipo en las sesiones presenciales de la asignatura y participando de manera equitativa en la presentación del caso</x:t>
  </x:si>
  <x:si>
    <x:t xml:space="preserve">El estudiante realiza un buen trabajo en equipo, fomentando un ambiente positivo, siendo participativo con su equipo en las sesiones presenciales de la asignatura, pero no demuestra una participación de manera equitativa en la presentación del caso </x:t>
  </x:si>
  <x:si>
    <x:t xml:space="preserve">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x:t>
  </x:si>
  <x:si>
    <x:t xml:space="preserve">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x:t>
  </x:si>
  <x:si>
    <x:t xml:space="preserve">INTEGRANTES</x:t>
  </x:si>
  <x:si>
    <x:t xml:space="preserve">GRUPAL</x:t>
  </x:si>
  <x:si>
    <x:t xml:space="preserve">INDIVIDUAL</x:t>
  </x:si>
  <x:si>
    <x:t xml:space="preserve">Nivel de Logro</x:t>
  </x:si>
  <x:si>
    <x:t xml:space="preserve">NIVELES DE LOGRO Y PUNTAJES</x:t>
  </x:si>
  <x:si>
    <x:t xml:space="preserve">Aspectos a Evaluar</x:t>
  </x:si>
  <x:si>
    <x:t xml:space="preserve">Completamente logrado</x:t>
  </x:si>
  <x:si>
    <x:t xml:space="preserve">Logrado</x:t>
  </x:si>
  <x:si>
    <x:t xml:space="preserve">Logro Incipiente</x:t>
  </x:si>
  <x:si>
    <x:t xml:space="preserve">Puntaje</x:t>
  </x:si>
  <x:si>
    <x:t xml:space="preserve">Nota</x:t>
  </x:si>
  <x:si>
    <x:t xml:space="preserve">NOMBRE ALUMNO</x:t>
  </x:si>
  <x:si>
    <x:t xml:space="preserve">Capacidad de Trabajo en Equipo</x:t>
  </x:si>
  <x:si>
    <x:t xml:space="preserve">PUNTAJE</x:t>
  </x:si>
  <x:si>
    <x:t xml:space="preserve">PUNTOS</x:t>
  </x:si>
  <x:si>
    <x:t xml:space="preserve">NOTA</x:t>
  </x:si>
  <x:si>
    <x:t xml:space="preserve">Relevancia</x:t>
  </x:si>
  <x:si>
    <x:t xml:space="preserve">Logro incipiente</x:t>
  </x:si>
  <x:si>
    <x:t xml:space="preserve">Muy Relevante</x:t>
  </x:si>
</x:sst>
</file>

<file path=xl/styles.xml><?xml version="1.0" encoding="utf-8"?>
<x:styleSheet xmlns:x="http://schemas.openxmlformats.org/spreadsheetml/2006/main">
  <x:numFmts count="1">
    <x:numFmt numFmtId="164" formatCode="0.0"/>
  </x:numFmts>
  <x:fonts count="18">
    <x:font>
      <x:sz val="11"/>
      <x:color rgb="FF000000"/>
      <x:name val="Calibri"/>
      <x:scheme val="minor"/>
    </x:font>
    <x:font>
      <x:color theme="1"/>
      <x:name val="Calibri"/>
      <x:scheme val="minor"/>
    </x:font>
    <x:font>
      <x:sz val="11"/>
      <x:color rgb="FF000000"/>
      <x:name val="Calibri"/>
    </x:font>
    <x:font>
      <x:b/>
      <x:sz val="10"/>
      <x:color rgb="FFFFFFFF"/>
      <x:name val="Calibri"/>
    </x:font>
    <x:font/>
    <x:font>
      <x:b/>
      <x:sz val="11"/>
      <x:color rgb="FF000000"/>
      <x:name val="Calibri"/>
    </x:font>
    <x:font>
      <x:b/>
      <x:sz val="11"/>
      <x:color rgb="FFFFFFFF"/>
      <x:name val="Calibri"/>
    </x:font>
    <x:font>
      <x:sz val="10"/>
      <x:color rgb="FF000000"/>
      <x:name val="Calibri"/>
    </x:font>
    <x:font>
      <x:b/>
      <x:sz val="10"/>
      <x:color rgb="FF000000"/>
      <x:name val="Calibri"/>
    </x:font>
    <x:font>
      <x:sz val="20"/>
      <x:color rgb="FF000000"/>
      <x:name val="Calibri"/>
    </x:font>
    <x:font>
      <x:b/>
      <x:sz val="14"/>
      <x:color rgb="FF000000"/>
      <x:name val="Calibri"/>
    </x:font>
    <x:font>
      <x:sz val="10"/>
      <x:color theme="1"/>
      <x:name val="Calibri"/>
    </x:font>
    <x:font>
      <x:sz val="9"/>
      <x:color rgb="FF000000"/>
      <x:name val="Calibri"/>
    </x:font>
    <x:font>
      <x:sz val="14"/>
      <x:color rgb="FF000000"/>
      <x:name val="Calibri"/>
    </x:font>
    <x:font>
      <x:sz val="16"/>
      <x:color rgb="FF000000"/>
      <x:name val="Calibri"/>
    </x:font>
    <x:font>
      <x:sz val="10"/>
      <x:color rgb="FF000000"/>
      <x:name val="Arial"/>
      <x:scheme val="minor"/>
    </x:font>
    <x:font>
      <x:b/>
      <x:sz val="11"/>
      <x:color rgb="FF000000"/>
      <x:name val="Arial"/>
      <x:scheme val="minor"/>
    </x:font>
    <x:font>
      <x:b/>
      <x:sz val="10"/>
      <x:color rgb="FF000000"/>
      <x:name val="Arial"/>
      <x:scheme val="minor"/>
    </x:font>
  </x:fonts>
  <x:fills count="11">
    <x:fill>
      <x:patternFill patternType="none"/>
    </x:fill>
    <x:fill>
      <x:patternFill patternType="lightGray"/>
    </x:fill>
    <x:fill>
      <x:patternFill patternType="solid">
        <x:fgColor rgb="FFECECEC"/>
      </x:patternFill>
    </x:fill>
    <x:fill>
      <x:patternFill patternType="solid">
        <x:fgColor rgb="FF262626"/>
      </x:patternFill>
    </x:fill>
    <x:fill>
      <x:patternFill patternType="solid">
        <x:fgColor rgb="FFDEEAF6"/>
      </x:patternFill>
    </x:fill>
    <x:fill>
      <x:patternFill patternType="solid">
        <x:fgColor rgb="FF92D050"/>
      </x:patternFill>
    </x:fill>
    <x:fill>
      <x:patternFill patternType="solid">
        <x:fgColor rgb="FFFEF2CB"/>
      </x:patternFill>
    </x:fill>
    <x:fill>
      <x:patternFill patternType="solid">
        <x:fgColor rgb="FFD9D9D9"/>
      </x:patternFill>
    </x:fill>
    <x:fill>
      <x:patternFill patternType="solid">
        <x:fgColor rgb="FFD8D8D8"/>
      </x:patternFill>
    </x:fill>
    <x:fill>
      <x:patternFill patternType="solid">
        <x:fgColor rgb="FFE2EFD9"/>
      </x:patternFill>
    </x:fill>
    <x:fill>
      <x:patternFill patternType="solid">
        <x:fgColor rgb="FFD9D9D9"/>
      </x:patternFill>
    </x:fill>
  </x:fills>
  <x:borders count="32">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border>
    <x:border>
      <x:left style="thin">
        <x:color rgb="FF000000"/>
      </x:left>
      <x:right style="thin">
        <x:color rgb="FF000000"/>
      </x:right>
      <x:bottom style="thin">
        <x:color rgb="FF000000"/>
      </x:bottom>
    </x:border>
    <x:border>
      <x:left style="medium">
        <x:color rgb="FF7F7F7F"/>
      </x:left>
      <x:right style="medium">
        <x:color rgb="FF7F7F7F"/>
      </x:right>
      <x:top style="medium">
        <x:color rgb="FF7F7F7F"/>
      </x:top>
      <x:bottom/>
    </x:border>
    <x:border>
      <x:left style="medium">
        <x:color rgb="FF7F7F7F"/>
      </x:left>
      <x:right style="medium">
        <x:color rgb="FF7F7F7F"/>
      </x:right>
      <x:top style="medium">
        <x:color rgb="FF7F7F7F"/>
      </x:top>
    </x:border>
    <x:border>
      <x:right style="medium">
        <x:color rgb="FF7F7F7F"/>
      </x:right>
    </x:border>
    <x:border>
      <x:left style="medium">
        <x:color rgb="FF7F7F7F"/>
      </x:left>
      <x:right style="medium">
        <x:color rgb="FF7F7F7F"/>
      </x:right>
      <x:top/>
      <x:bottom style="medium">
        <x:color rgb="FF7F7F7F"/>
      </x:bottom>
    </x:border>
    <x:border>
      <x:right style="medium">
        <x:color rgb="FF7F7F7F"/>
      </x:right>
      <x:bottom style="medium">
        <x:color rgb="FF7F7F7F"/>
      </x:bottom>
    </x:border>
    <x:border>
      <x:bottom style="medium">
        <x:color rgb="FF7F7F7F"/>
      </x:bottom>
    </x:border>
    <x:border>
      <x:left style="thin">
        <x:color rgb="FF000000"/>
      </x:left>
      <x:right style="thin">
        <x:color rgb="FF000000"/>
      </x:right>
      <x:top style="thin">
        <x:color rgb="FF000000"/>
      </x:top>
      <x:bottom/>
    </x:border>
    <x:border>
      <x:left style="medium">
        <x:color rgb="FF7F7F7F"/>
      </x:left>
      <x:right style="medium">
        <x:color rgb="FF7F7F7F"/>
      </x:right>
      <x:bottom style="medium">
        <x:color rgb="FF7F7F7F"/>
      </x:bottom>
    </x:border>
    <x:border>
      <x:left style="medium">
        <x:color rgb="FF000000"/>
      </x:left>
      <x:right style="medium">
        <x:color rgb="FF000000"/>
      </x:right>
      <x:top style="medium">
        <x:color rgb="FF000000"/>
      </x:top>
    </x:border>
    <x:border>
      <x:left style="medium">
        <x:color rgb="FF000000"/>
      </x:left>
      <x:right/>
      <x:top style="medium">
        <x:color rgb="FF000000"/>
      </x:top>
      <x:bottom/>
    </x:border>
    <x:border>
      <x:left/>
      <x:right/>
      <x:top style="medium">
        <x:color rgb="FF000000"/>
      </x:top>
      <x:bottom/>
    </x:border>
    <x:border>
      <x:left/>
      <x:right style="medium">
        <x:color rgb="FF000000"/>
      </x:right>
      <x:top style="medium">
        <x:color rgb="FF000000"/>
      </x:top>
      <x:bottom/>
    </x:border>
    <x:border>
      <x:left style="medium">
        <x:color rgb="FF000000"/>
      </x:left>
      <x:right style="medium">
        <x:color rgb="FF000000"/>
      </x:right>
      <x:bottom style="medium">
        <x:color rgb="FF000000"/>
      </x:bottom>
    </x:border>
    <x:border>
      <x:left style="medium">
        <x:color rgb="FF000000"/>
      </x:left>
      <x:right/>
      <x:top/>
      <x:bottom style="medium">
        <x:color rgb="FF000000"/>
      </x:bottom>
    </x:border>
    <x:border>
      <x:left/>
      <x:right/>
      <x:top/>
      <x:bottom style="medium">
        <x:color rgb="FF000000"/>
      </x:bottom>
    </x:border>
    <x:border>
      <x:left/>
      <x:right style="medium">
        <x:color rgb="FF000000"/>
      </x:right>
      <x:top/>
      <x:bottom style="medium">
        <x:color rgb="FF000000"/>
      </x:bottom>
    </x:border>
    <x:border>
      <x:right style="medium">
        <x:color rgb="FF000000"/>
      </x:right>
      <x:bottom style="medium">
        <x:color rgb="FF000000"/>
      </x:bottom>
    </x:border>
    <x:border>
      <x:left style="thin">
        <x:color rgb="FF000000"/>
      </x:left>
      <x:top style="thin">
        <x:color rgb="FF000000"/>
      </x:top>
    </x:border>
    <x:border>
      <x:top style="thin">
        <x:color rgb="FF000000"/>
      </x:top>
    </x:border>
    <x:border>
      <x:right style="thin">
        <x:color rgb="FF000000"/>
      </x:right>
      <x:top style="thin">
        <x:color rgb="FF000000"/>
      </x:top>
    </x:border>
    <x:border>
      <x:left style="thin">
        <x:color rgb="FF000000"/>
      </x:left>
      <x:bottom style="thin">
        <x:color rgb="FF000000"/>
      </x:bottom>
    </x:border>
    <x:border>
      <x:bottom style="thin">
        <x:color rgb="FF000000"/>
      </x:bottom>
    </x:border>
    <x:border>
      <x:right style="thin">
        <x:color rgb="FF000000"/>
      </x:right>
      <x:bottom style="thin">
        <x:color rgb="FF000000"/>
      </x:bottom>
    </x:border>
    <x:border>
      <x:left style="thin">
        <x:color rgb="FFB7B7B7"/>
      </x:left>
      <x:right style="thin">
        <x:color rgb="FFB7B7B7"/>
      </x:right>
      <x:top style="thin">
        <x:color rgb="FFB7B7B7"/>
      </x:top>
      <x:bottom style="thin">
        <x:color rgb="FFB7B7B7"/>
      </x:bottom>
    </x:border>
  </x:borders>
  <x:cellStyleXfs count="1">
    <x:xf numFmtId="0" fontId="0" fillId="0" borderId="0" applyFont="1" applyAlignment="1"/>
  </x:cellStyleXfs>
  <x:cellXfs count="82">
    <x:xf numFmtId="0" fontId="0" fillId="0" borderId="0" xfId="0" applyFont="1" applyAlignment="1">
      <x:alignment vertical="bottom" wrapText="0" shrinkToFit="0"/>
    </x:xf>
    <x:xf numFmtId="0" fontId="1" fillId="0" borderId="0" xfId="0" applyFont="1"/>
    <x:xf numFmtId="164" fontId="2" fillId="0" borderId="0" xfId="0" applyNumberFormat="1" applyFont="1"/>
    <x:xf numFmtId="0" fontId="3" fillId="3" borderId="2" xfId="0" applyFont="1" applyFill="1" applyBorder="1" applyAlignment="1">
      <x:alignment horizontal="center" vertical="center" wrapText="1" shrinkToFit="0"/>
    </x:xf>
    <x:xf numFmtId="9" fontId="2" fillId="2" borderId="1" xfId="0" applyNumberFormat="1" applyFont="1" applyFill="1" applyBorder="1" applyAlignment="1">
      <x:alignment horizontal="center" vertical="center" wrapText="1" shrinkToFit="0"/>
    </x:xf>
    <x:xf numFmtId="0" fontId="3" fillId="3" borderId="3" xfId="0" applyFont="1" applyFill="1" applyBorder="1" applyAlignment="1">
      <x:alignment horizontal="center" vertical="center" wrapText="1" shrinkToFit="0"/>
    </x:xf>
    <x:xf numFmtId="0" fontId="4" fillId="0" borderId="4" xfId="0" applyFont="1" applyBorder="1"/>
    <x:xf numFmtId="0" fontId="4" fillId="0" borderId="5" xfId="0" applyFont="1" applyBorder="1"/>
    <x:xf numFmtId="9" fontId="2" fillId="4" borderId="2" xfId="0" applyNumberFormat="1" applyFont="1" applyFill="1" applyBorder="1" applyAlignment="1">
      <x:alignment horizontal="center" vertical="center"/>
    </x:xf>
    <x:xf numFmtId="0" fontId="5" fillId="0" borderId="0" xfId="0" applyFont="1"/>
    <x:xf numFmtId="0" fontId="4" fillId="0" borderId="6" xfId="0" applyFont="1" applyBorder="1"/>
    <x:xf numFmtId="0" fontId="2" fillId="2" borderId="1" xfId="0" applyFont="1" applyFill="1" applyBorder="1" applyAlignment="1">
      <x:alignment horizontal="center" vertical="center" wrapText="1" shrinkToFit="0"/>
    </x:xf>
    <x:xf numFmtId="0" fontId="4" fillId="0" borderId="7" xfId="0" applyFont="1" applyBorder="1"/>
    <x:xf numFmtId="0" fontId="2" fillId="0" borderId="0" xfId="0" applyFont="1" applyAlignment="1">
      <x:alignment horizontal="right" vertical="center"/>
    </x:xf>
    <x:xf numFmtId="0" fontId="2" fillId="0" borderId="3" xfId="0" applyFont="1" applyBorder="1" applyAlignment="1">
      <x:alignment horizontal="left"/>
    </x:xf>
    <x:xf numFmtId="0" fontId="6" fillId="3" borderId="2" xfId="0" applyFont="1" applyFill="1" applyBorder="1" applyAlignment="1">
      <x:alignment horizontal="center" vertical="center" wrapText="1" shrinkToFit="0"/>
    </x:xf>
    <x:xf numFmtId="0" fontId="6" fillId="3" borderId="1" xfId="0" applyFont="1" applyFill="1" applyBorder="1" applyAlignment="1">
      <x:alignment horizontal="center" vertical="center" wrapText="1" shrinkToFit="0"/>
    </x:xf>
    <x:xf numFmtId="0" fontId="3" fillId="3" borderId="1" xfId="0" applyFont="1" applyFill="1" applyBorder="1" applyAlignment="1">
      <x:alignment horizontal="center" vertical="center" wrapText="1" shrinkToFit="0"/>
    </x:xf>
    <x:xf numFmtId="164" fontId="2" fillId="2" borderId="1" xfId="0" applyNumberFormat="1" applyFont="1" applyFill="1" applyBorder="1" applyAlignment="1">
      <x:alignment horizontal="center"/>
    </x:xf>
    <x:xf numFmtId="9" fontId="3" fillId="3" borderId="1" xfId="0" applyNumberFormat="1" applyFont="1" applyFill="1" applyBorder="1" applyAlignment="1">
      <x:alignment horizontal="center" vertical="center" wrapText="1" shrinkToFit="0"/>
    </x:xf>
    <x:xf numFmtId="0" fontId="7" fillId="0" borderId="1" xfId="0" applyFont="1" applyBorder="1" applyAlignment="1">
      <x:alignment horizontal="left" vertical="center" wrapText="1" shrinkToFit="0"/>
    </x:xf>
    <x:xf numFmtId="0" fontId="8" fillId="0" borderId="1" xfId="0" applyFont="1" applyBorder="1" applyAlignment="1">
      <x:alignment horizontal="center" vertical="center" wrapText="1" shrinkToFit="0"/>
    </x:xf>
    <x:xf numFmtId="0" fontId="7" fillId="5" borderId="1" xfId="0" applyFont="1" applyFill="1" applyBorder="1" applyAlignment="1">
      <x:alignment horizontal="left" vertical="center" wrapText="1" shrinkToFit="0"/>
    </x:xf>
    <x:xf numFmtId="164" fontId="2" fillId="4" borderId="1" xfId="0" applyNumberFormat="1" applyFont="1" applyFill="1" applyBorder="1" applyAlignment="1">
      <x:alignment horizontal="center"/>
    </x:xf>
    <x:xf numFmtId="0" fontId="7" fillId="5" borderId="8" xfId="0" applyFont="1" applyFill="1" applyBorder="1" applyAlignment="1">
      <x:alignment horizontal="left" vertical="center" wrapText="1" shrinkToFit="0"/>
    </x:xf>
    <x:xf numFmtId="0" fontId="7" fillId="0" borderId="9" xfId="0" applyFont="1" applyBorder="1" applyAlignment="1">
      <x:alignment horizontal="left" vertical="center" wrapText="1" shrinkToFit="0"/>
    </x:xf>
    <x:xf numFmtId="0" fontId="2" fillId="0" borderId="3" xfId="0" applyFont="1" applyBorder="1" applyAlignment="1">
      <x:alignment horizontal="left"/>
    </x:xf>
    <x:xf numFmtId="0" fontId="7" fillId="0" borderId="10" xfId="0" applyFont="1" applyBorder="1" applyAlignment="1">
      <x:alignment horizontal="left" vertical="center" wrapText="1" shrinkToFit="0"/>
    </x:xf>
    <x:xf numFmtId="0" fontId="9" fillId="6" borderId="2" xfId="0" applyFont="1" applyFill="1" applyBorder="1" applyAlignment="1">
      <x:alignment horizontal="center" vertical="center"/>
    </x:xf>
    <x:xf numFmtId="0" fontId="10" fillId="7" borderId="1" xfId="0" applyFont="1" applyFill="1" applyBorder="1" applyAlignment="1">
      <x:alignment horizontal="center" vertical="center"/>
    </x:xf>
    <x:xf numFmtId="0" fontId="7" fillId="5" borderId="11" xfId="0" applyFont="1" applyFill="1" applyBorder="1" applyAlignment="1">
      <x:alignment horizontal="left" vertical="center" wrapText="1" shrinkToFit="0"/>
    </x:xf>
    <x:xf numFmtId="0" fontId="7" fillId="0" borderId="12" xfId="0" applyFont="1" applyBorder="1" applyAlignment="1">
      <x:alignment horizontal="left" vertical="center" wrapText="1" shrinkToFit="0"/>
    </x:xf>
    <x:xf numFmtId="0" fontId="8" fillId="7" borderId="2" xfId="0" applyFont="1" applyFill="1" applyBorder="1" applyAlignment="1">
      <x:alignment horizontal="center" vertical="center"/>
    </x:xf>
    <x:xf numFmtId="0" fontId="7" fillId="0" borderId="13" xfId="0" applyFont="1" applyBorder="1" applyAlignment="1">
      <x:alignment horizontal="left" vertical="center" wrapText="1" shrinkToFit="0"/>
    </x:xf>
    <x:xf numFmtId="0" fontId="8" fillId="7" borderId="3" xfId="0" applyFont="1" applyFill="1" applyBorder="1" applyAlignment="1">
      <x:alignment horizontal="center" vertical="center"/>
    </x:xf>
    <x:xf numFmtId="0" fontId="11" fillId="5" borderId="1" xfId="0" applyFont="1" applyFill="1" applyBorder="1" applyAlignment="1">
      <x:alignment horizontal="left" vertical="center" wrapText="1" shrinkToFit="0"/>
    </x:xf>
    <x:xf numFmtId="0" fontId="11" fillId="0" borderId="1" xfId="0" applyFont="1" applyBorder="1" applyAlignment="1">
      <x:alignment horizontal="left" vertical="center" wrapText="1" shrinkToFit="0"/>
    </x:xf>
    <x:xf numFmtId="0" fontId="8" fillId="7" borderId="14" xfId="0" applyFont="1" applyFill="1" applyBorder="1" applyAlignment="1">
      <x:alignment horizontal="center" vertical="center"/>
    </x:xf>
    <x:xf numFmtId="0" fontId="8" fillId="0" borderId="12" xfId="0" applyFont="1" applyBorder="1" applyAlignment="1">
      <x:alignment horizontal="center" vertical="center" wrapText="1" shrinkToFit="0"/>
    </x:xf>
    <x:xf numFmtId="0" fontId="7" fillId="0" borderId="15" xfId="0" applyFont="1" applyBorder="1" applyAlignment="1">
      <x:alignment horizontal="left" vertical="center" wrapText="1" shrinkToFit="0"/>
    </x:xf>
    <x:xf numFmtId="0" fontId="12" fillId="0" borderId="1" xfId="0" applyFont="1" applyBorder="1" applyAlignment="1">
      <x:alignment horizontal="left" vertical="center" wrapText="1" shrinkToFit="0"/>
    </x:xf>
    <x:xf numFmtId="0" fontId="7" fillId="0" borderId="5" xfId="0" applyFont="1" applyBorder="1" applyAlignment="1">
      <x:alignment horizontal="left" vertical="center"/>
    </x:xf>
    <x:xf numFmtId="0" fontId="7" fillId="0" borderId="1" xfId="0" applyFont="1" applyBorder="1" applyAlignment="1">
      <x:alignment horizontal="center" vertical="center"/>
    </x:xf>
    <x:xf numFmtId="0" fontId="5" fillId="7" borderId="16" xfId="0" applyFont="1" applyFill="1" applyBorder="1" applyAlignment="1">
      <x:alignment horizontal="left" vertical="center" wrapText="1" shrinkToFit="0"/>
    </x:xf>
    <x:xf numFmtId="0" fontId="5" fillId="7" borderId="17" xfId="0" applyFont="1" applyFill="1" applyBorder="1" applyAlignment="1">
      <x:alignment vertical="center" wrapText="1" shrinkToFit="0"/>
    </x:xf>
    <x:xf numFmtId="0" fontId="5" fillId="7" borderId="18" xfId="0" applyFont="1" applyFill="1" applyBorder="1" applyAlignment="1">
      <x:alignment vertical="center" wrapText="1" shrinkToFit="0"/>
    </x:xf>
    <x:xf numFmtId="0" fontId="5" fillId="7" borderId="19" xfId="0" applyFont="1" applyFill="1" applyBorder="1" applyAlignment="1">
      <x:alignment vertical="center" wrapText="1" shrinkToFit="0"/>
    </x:xf>
    <x:xf numFmtId="0" fontId="4" fillId="0" borderId="20" xfId="0" applyFont="1" applyBorder="1"/>
    <x:xf numFmtId="0" fontId="5" fillId="7" borderId="21" xfId="0" applyFont="1" applyFill="1" applyBorder="1" applyAlignment="1">
      <x:alignment vertical="center" wrapText="1" shrinkToFit="0"/>
    </x:xf>
    <x:xf numFmtId="0" fontId="5" fillId="7" borderId="22" xfId="0" applyFont="1" applyFill="1" applyBorder="1" applyAlignment="1">
      <x:alignment vertical="center" wrapText="1" shrinkToFit="0"/>
    </x:xf>
    <x:xf numFmtId="0" fontId="5" fillId="7" borderId="23" xfId="0" applyFont="1" applyFill="1" applyBorder="1" applyAlignment="1">
      <x:alignment vertical="center" wrapText="1" shrinkToFit="0"/>
    </x:xf>
    <x:xf numFmtId="0" fontId="5" fillId="0" borderId="20" xfId="0" applyFont="1" applyBorder="1" applyAlignment="1">
      <x:alignment horizontal="left" vertical="center" wrapText="1" shrinkToFit="0"/>
    </x:xf>
    <x:xf numFmtId="0" fontId="5" fillId="0" borderId="24" xfId="0" applyFont="1" applyBorder="1" applyAlignment="1">
      <x:alignment horizontal="left" vertical="center" wrapText="1" shrinkToFit="0"/>
    </x:xf>
    <x:xf numFmtId="0" fontId="7" fillId="0" borderId="5" xfId="0" applyFont="1" applyBorder="1" applyAlignment="1">
      <x:alignment horizontal="left" vertical="center"/>
    </x:xf>
    <x:xf numFmtId="0" fontId="12" fillId="0" borderId="7" xfId="0" applyFont="1" applyBorder="1" applyAlignment="1">
      <x:alignment horizontal="right" vertical="center" wrapText="1" shrinkToFit="0"/>
    </x:xf>
    <x:xf numFmtId="0" fontId="13" fillId="0" borderId="2" xfId="0" applyFont="1" applyBorder="1"/>
    <x:xf numFmtId="0" fontId="2" fillId="8" borderId="1" xfId="0" applyFont="1" applyFill="1" applyBorder="1"/>
    <x:xf numFmtId="0" fontId="12" fillId="0" borderId="3" xfId="0" applyFont="1" applyBorder="1" applyAlignment="1">
      <x:alignment horizontal="right" vertical="center" wrapText="1" shrinkToFit="0"/>
    </x:xf>
    <x:xf numFmtId="164" fontId="13" fillId="0" borderId="1" xfId="0" applyNumberFormat="1" applyFont="1" applyBorder="1"/>
    <x:xf numFmtId="0" fontId="2" fillId="9" borderId="2" xfId="0" applyFont="1" applyFill="1" applyBorder="1" applyAlignment="1">
      <x:alignment horizontal="center" vertical="center"/>
    </x:xf>
    <x:xf numFmtId="0" fontId="2" fillId="4" borderId="2" xfId="0" applyFont="1" applyFill="1" applyBorder="1" applyAlignment="1">
      <x:alignment horizontal="right" vertical="center"/>
    </x:xf>
    <x:xf numFmtId="0" fontId="14" fillId="0" borderId="25" xfId="0" applyFont="1" applyBorder="1" applyAlignment="1">
      <x:alignment horizontal="left" vertical="center"/>
    </x:xf>
    <x:xf numFmtId="0" fontId="4" fillId="0" borderId="26" xfId="0" applyFont="1" applyBorder="1"/>
    <x:xf numFmtId="0" fontId="4" fillId="0" borderId="27" xfId="0" applyFont="1" applyBorder="1"/>
    <x:xf numFmtId="0" fontId="4" fillId="0" borderId="28" xfId="0" applyFont="1" applyBorder="1"/>
    <x:xf numFmtId="0" fontId="4" fillId="0" borderId="29" xfId="0" applyFont="1" applyBorder="1"/>
    <x:xf numFmtId="0" fontId="4" fillId="0" borderId="30" xfId="0" applyFont="1" applyBorder="1"/>
    <x:xf numFmtId="0" fontId="8" fillId="7" borderId="1" xfId="0" applyFont="1" applyFill="1" applyBorder="1" applyAlignment="1">
      <x:alignment horizontal="center" vertical="center"/>
    </x:xf>
    <x:xf numFmtId="0" fontId="5" fillId="0" borderId="1" xfId="0" applyFont="1" applyBorder="1" applyAlignment="1">
      <x:alignment horizontal="right" vertical="center" wrapText="1" shrinkToFit="0"/>
    </x:xf>
    <x:xf numFmtId="0" fontId="13" fillId="0" borderId="1" xfId="0" applyFont="1" applyBorder="1"/>
    <x:xf numFmtId="0" fontId="12" fillId="0" borderId="1" xfId="0" applyFont="1" applyBorder="1" applyAlignment="1">
      <x:alignment horizontal="right" vertical="center" wrapText="1" shrinkToFit="0"/>
    </x:xf>
    <x:xf numFmtId="0" fontId="12" fillId="0" borderId="0" xfId="0" applyFont="1" applyAlignment="1">
      <x:alignment horizontal="right" vertical="center" wrapText="1" shrinkToFit="0"/>
    </x:xf>
    <x:xf numFmtId="164" fontId="13" fillId="0" borderId="0" xfId="0" applyNumberFormat="1" applyFont="1"/>
    <x:xf numFmtId="0" fontId="15" fillId="0" borderId="0" xfId="0" applyNumberFormat="1" applyFont="1" applyFill="1" applyBorder="1" applyAlignment="1">
      <x:alignment vertical="bottom" wrapText="0"/>
    </x:xf>
    <x:xf numFmtId="0" fontId="15" fillId="0" borderId="0" xfId="0" applyNumberFormat="1" applyFont="1" applyFill="1" applyBorder="1" applyAlignment="1">
      <x:alignment vertical="bottom" wrapText="1"/>
    </x:xf>
    <x:xf numFmtId="0" fontId="0" fillId="10" borderId="0" xfId="0" applyNumberFormat="1" applyFont="1" applyFill="1" applyBorder="1" applyAlignment="1">
      <x:alignment vertical="bottom" wrapText="0"/>
    </x:xf>
    <x:xf numFmtId="0" fontId="16" fillId="10" borderId="0" xfId="0" applyNumberFormat="1" applyFont="1" applyFill="1" applyBorder="1" applyAlignment="1">
      <x:alignment vertical="bottom" wrapText="0"/>
    </x:xf>
    <x:xf numFmtId="0" fontId="16" fillId="10" borderId="0" xfId="0" applyNumberFormat="1" applyFont="1" applyFill="1" applyBorder="1" applyAlignment="1">
      <x:alignment vertical="bottom" wrapText="1"/>
    </x:xf>
    <x:xf numFmtId="0" fontId="15" fillId="0" borderId="31" xfId="0" applyNumberFormat="1" applyFont="1" applyFill="1" applyBorder="1" applyAlignment="1">
      <x:alignment vertical="bottom" wrapText="0"/>
    </x:xf>
    <x:xf numFmtId="0" fontId="15" fillId="0" borderId="31" xfId="0" applyNumberFormat="1" applyFont="1" applyFill="1" applyBorder="1" applyAlignment="1">
      <x:alignment vertical="bottom" wrapText="1"/>
    </x:xf>
    <x:xf numFmtId="0" fontId="15" fillId="0" borderId="31" xfId="0" applyNumberFormat="1" applyFont="1" applyFill="1" applyBorder="1" applyAlignment="1">
      <x:alignment vertical="center" wrapText="1"/>
    </x:xf>
    <x:xf numFmtId="0" fontId="17" fillId="0" borderId="31" xfId="0" applyNumberFormat="1" applyFont="1" applyFill="1" applyBorder="1" applyAlignment="1">
      <x:alignment vertical="center" wrapText="1"/>
    </x:xf>
  </x:cellXfs>
  <x:cellStyles count="1">
    <x:cellStyle name="Normal" xfId="0"/>
  </x:cellStyles>
  <x:dxfs count="1">
    <x:dxf>
      <x:font>
        <x:color rgb="FF9C0006"/>
      </x:font>
      <x:fill>
        <x:patternFill patternType="none"/>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155a110b13e84c4b" /><Relationship Type="http://schemas.openxmlformats.org/officeDocument/2006/relationships/theme" Target="/xl/theme/theme1.xml" Id="Re9033da057204619" /><Relationship Type="http://schemas.openxmlformats.org/officeDocument/2006/relationships/sharedStrings" Target="/xl/sharedStrings.xml" Id="Rc0a6e2b2d32d4003" /><Relationship Type="http://schemas.openxmlformats.org/officeDocument/2006/relationships/worksheet" Target="/xl/worksheets/sheet1.xml" Id="R9e3520e6245547c6" /><Relationship Type="http://schemas.openxmlformats.org/officeDocument/2006/relationships/worksheet" Target="/xl/worksheets/sheet2.xml" Id="Re8105344637d4037" /><Relationship Type="http://schemas.openxmlformats.org/officeDocument/2006/relationships/worksheet" Target="/xl/worksheets/sheet3.xml" Id="Rf0e39437ae94471e" /><Relationship Type="http://schemas.openxmlformats.org/officeDocument/2006/relationships/worksheet" Target="/xl/worksheets/sheet4.xml" Id="R9077024a9b55435e" /><Relationship Type="http://schemas.openxmlformats.org/officeDocument/2006/relationships/worksheet" Target="/xl/worksheets/sheet5.xml" Id="R7f274193c9de4d13" /><Relationship Type="http://schemas.openxmlformats.org/officeDocument/2006/relationships/worksheet" Target="/xl/worksheets/sheet6.xml" Id="R74e7909e8e69427c"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4.430000305175781" defaultRowHeight="15"/>
  <x:cols>
    <x:col min="1" max="6" width="38.709999084472656" customWidth="1"/>
    <x:col min="7" max="26" width="11.430000305175781" customWidth="1"/>
  </x:cols>
  <x:sheetData>
    <x:row r="1" ht="14.25" customHeight="1">
      <x:c r="A1" s="3" t="s">
        <x:v>0</x:v>
      </x:c>
      <x:c r="B1" s="5" t="s">
        <x:v>1</x:v>
      </x:c>
      <x:c r="C1" s="6"/>
      <x:c r="D1" s="6"/>
      <x:c r="E1" s="7"/>
      <x:c r="F1" s="3" t="s">
        <x:v>2</x:v>
      </x:c>
    </x:row>
    <x:row r="2" ht="14.25" customHeight="1">
      <x:c r="A2" s="10"/>
      <x:c r="B2" s="15" t="s">
        <x:v>3</x:v>
      </x:c>
      <x:c r="C2" s="15" t="s">
        <x:v>4</x:v>
      </x:c>
      <x:c r="D2" s="16" t="s">
        <x:v>5</x:v>
      </x:c>
      <x:c r="E2" s="17" t="s">
        <x:v>6</x:v>
      </x:c>
      <x:c r="F2" s="10"/>
    </x:row>
    <x:row r="3" ht="14.25" customHeight="1">
      <x:c r="A3" s="12"/>
      <x:c r="B3" s="12"/>
      <x:c r="C3" s="12"/>
      <x:c r="D3" s="19">
        <x:v>-0.3</x:v>
      </x:c>
      <x:c r="E3" s="19">
        <x:v>0.0</x:v>
      </x:c>
      <x:c r="F3" s="12"/>
    </x:row>
    <x:row r="4" ht="14.25" customHeight="1">
      <x:c r="A4" s="20" t="s">
        <x:v>7</x:v>
      </x:c>
      <x:c r="B4" s="20" t="s">
        <x:v>8</x:v>
      </x:c>
      <x:c r="C4" s="20" t="s">
        <x:v>9</x:v>
      </x:c>
      <x:c r="D4" s="20" t="s">
        <x:v>10</x:v>
      </x:c>
      <x:c r="E4" s="20" t="s">
        <x:v>11</x:v>
      </x:c>
      <x:c r="F4" s="21">
        <x:v>10.0</x:v>
      </x:c>
    </x:row>
    <x:row r="5" ht="14.25" customHeight="1">
      <x:c r="A5" s="22" t="s">
        <x:v>12</x:v>
      </x:c>
      <x:c r="B5" s="20" t="s">
        <x:v>13</x:v>
      </x:c>
      <x:c r="C5" s="20" t="s">
        <x:v>14</x:v>
      </x:c>
      <x:c r="D5" s="20" t="s">
        <x:v>15</x:v>
      </x:c>
      <x:c r="E5" s="20" t="s">
        <x:v>16</x:v>
      </x:c>
      <x:c r="F5" s="21">
        <x:v>20.0</x:v>
      </x:c>
    </x:row>
    <x:row r="6" ht="14.25" customHeight="1">
      <x:c r="A6" s="22" t="s">
        <x:v>17</x:v>
      </x:c>
      <x:c r="B6" s="20" t="s">
        <x:v>18</x:v>
      </x:c>
      <x:c r="C6" s="20" t="s">
        <x:v>19</x:v>
      </x:c>
      <x:c r="D6" s="20" t="s">
        <x:v>20</x:v>
      </x:c>
      <x:c r="E6" s="20" t="s">
        <x:v>21</x:v>
      </x:c>
      <x:c r="F6" s="21">
        <x:v>5.0</x:v>
      </x:c>
    </x:row>
    <x:row r="7" ht="14.25" customHeight="1">
      <x:c r="A7" s="24" t="s">
        <x:v>22</x:v>
      </x:c>
      <x:c r="B7" s="25" t="s">
        <x:v>23</x:v>
      </x:c>
      <x:c r="C7" s="25" t="s">
        <x:v>24</x:v>
      </x:c>
      <x:c r="D7" s="25" t="s">
        <x:v>25</x:v>
      </x:c>
      <x:c r="E7" s="27" t="s">
        <x:v>26</x:v>
      </x:c>
      <x:c r="F7" s="21">
        <x:v>5.0</x:v>
      </x:c>
    </x:row>
    <x:row r="8" ht="14.25" customHeight="1">
      <x:c r="A8" s="22" t="s">
        <x:v>27</x:v>
      </x:c>
      <x:c r="B8" s="20" t="s">
        <x:v>28</x:v>
      </x:c>
      <x:c r="C8" s="20" t="s">
        <x:v>29</x:v>
      </x:c>
      <x:c r="D8" s="20" t="s">
        <x:v>30</x:v>
      </x:c>
      <x:c r="E8" s="20" t="s">
        <x:v>31</x:v>
      </x:c>
      <x:c r="F8" s="21">
        <x:v>5.0</x:v>
      </x:c>
    </x:row>
    <x:row r="9" ht="14.25" customHeight="1">
      <x:c r="A9" s="22" t="s">
        <x:v>32</x:v>
      </x:c>
      <x:c r="B9" s="20" t="s">
        <x:v>33</x:v>
      </x:c>
      <x:c r="C9" s="20" t="s">
        <x:v>34</x:v>
      </x:c>
      <x:c r="D9" s="20" t="s">
        <x:v>35</x:v>
      </x:c>
      <x:c r="E9" s="20" t="s">
        <x:v>36</x:v>
      </x:c>
      <x:c r="F9" s="21">
        <x:v>5.0</x:v>
      </x:c>
    </x:row>
    <x:row r="10" ht="14.25" customHeight="1">
      <x:c r="A10" s="22" t="s">
        <x:v>37</x:v>
      </x:c>
      <x:c r="B10" s="20" t="s">
        <x:v>38</x:v>
      </x:c>
      <x:c r="C10" s="20" t="s">
        <x:v>39</x:v>
      </x:c>
      <x:c r="D10" s="20" t="s">
        <x:v>40</x:v>
      </x:c>
      <x:c r="E10" s="20" t="s">
        <x:v>41</x:v>
      </x:c>
      <x:c r="F10" s="21">
        <x:v>15.0</x:v>
      </x:c>
    </x:row>
    <x:row r="11" ht="14.25" customHeight="1">
      <x:c r="A11" s="30" t="s">
        <x:v>42</x:v>
      </x:c>
      <x:c r="B11" s="31" t="s">
        <x:v>43</x:v>
      </x:c>
      <x:c r="C11" s="31" t="s">
        <x:v>44</x:v>
      </x:c>
      <x:c r="D11" s="31" t="s">
        <x:v>45</x:v>
      </x:c>
      <x:c r="E11" s="33" t="s">
        <x:v>46</x:v>
      </x:c>
      <x:c r="F11" s="21">
        <x:v>10.0</x:v>
      </x:c>
    </x:row>
    <x:row r="12" ht="14.25" customHeight="1">
      <x:c r="A12" s="35" t="s">
        <x:v>47</x:v>
      </x:c>
      <x:c r="B12" s="36" t="s">
        <x:v>48</x:v>
      </x:c>
      <x:c r="C12" s="36" t="s">
        <x:v>49</x:v>
      </x:c>
      <x:c r="D12" s="36" t="s">
        <x:v>50</x:v>
      </x:c>
      <x:c r="E12" s="36" t="s">
        <x:v>51</x:v>
      </x:c>
      <x:c r="F12" s="38">
        <x:v>15.0</x:v>
      </x:c>
    </x:row>
    <x:row r="13" ht="14.25" customHeight="1">
      <x:c r="A13" s="39" t="s">
        <x:v>52</x:v>
      </x:c>
      <x:c r="B13" s="31" t="s">
        <x:v>53</x:v>
      </x:c>
      <x:c r="C13" s="31" t="s">
        <x:v>54</x:v>
      </x:c>
      <x:c r="D13" s="31" t="s">
        <x:v>55</x:v>
      </x:c>
      <x:c r="E13" s="31" t="s">
        <x:v>56</x:v>
      </x:c>
      <x:c r="F13" s="21">
        <x:v>10.0</x:v>
      </x:c>
    </x:row>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mergeCells>
    <x:mergeCell ref="A1:A3"/>
    <x:mergeCell ref="B1:E1"/>
    <x:mergeCell ref="F1:F3"/>
    <x:mergeCell ref="B2:B3"/>
    <x:mergeCell ref="C2:C3"/>
  </x:mergeCells>
  <x:pageMargins left="0.7" right="0.7" top="0.75" bottom="0.75" header="0.3" footer="0.3"/>
</x:worksheet>
</file>

<file path=xl/worksheets/sheet2.xml><?xml version="1.0" encoding="utf-8"?>
<x:worksheet xmlns:x="http://schemas.openxmlformats.org/spreadsheetml/2006/main">
  <x:sheetFormatPr defaultColWidth="14.430000305175781" defaultRowHeight="15"/>
  <x:cols>
    <x:col min="1" max="1" width="10.710000038146973" customWidth="1"/>
    <x:col min="2" max="2" width="66.86000061035156" customWidth="1"/>
    <x:col min="3" max="3" width="22" customWidth="1"/>
    <x:col min="4" max="4" width="11.289999961853027" customWidth="1"/>
    <x:col min="5" max="7" width="11.710000038146973" customWidth="1"/>
    <x:col min="8" max="8" width="7.710000038146973" customWidth="1"/>
    <x:col min="9" max="9" width="11.710000038146973" customWidth="1"/>
    <x:col min="10" max="10" width="7.710000038146973" customWidth="1"/>
    <x:col min="11" max="11" width="11.710000038146973" customWidth="1"/>
  </x:cols>
  <x:sheetData>
    <x:row r="2">
      <x:c r="C2" s="4">
        <x:v>0.75</x:v>
      </x:c>
      <x:c r="D2" s="4">
        <x:v>0.25</x:v>
      </x:c>
      <x:c r="E2" s="8">
        <x:v>1.0</x:v>
      </x:c>
    </x:row>
    <x:row r="3">
      <x:c r="B3" s="9" t="s">
        <x:v>57</x:v>
      </x:c>
      <x:c r="C3" s="11" t="s">
        <x:v>58</x:v>
      </x:c>
      <x:c r="D3" s="4" t="s">
        <x:v>59</x:v>
      </x:c>
      <x:c r="E3" s="12"/>
    </x:row>
    <x:row r="4">
      <x:c r="A4" s="13">
        <x:v>1.0</x:v>
      </x:c>
      <x:c r="B4" s="14" t="str">
        <x:v>Danitza Arias Garrido</x:v>
      </x:c>
      <x:c r="C4" s="18" t="str">
        <x:f>IF($C$21="","",$C$21)</x:f>
      </x:c>
      <x:c r="D4" s="18" t="str">
        <x:f>IF($C$32="","",$C$32)</x:f>
      </x:c>
      <x:c r="E4" s="23" t="str">
        <x:f t="shared" ref="E4:E6" si="1">IF(OR(C4="",D4=""),"",C4*C$2+D4*D$2)</x:f>
      </x:c>
      <x:c r="G4" s="2"/>
    </x:row>
    <x:row r="5">
      <x:c r="A5" s="13">
        <x:v>2.0</x:v>
      </x:c>
      <x:c r="B5" s="14" t="str">
        <x:v>Catalina Benítez Bravo</x:v>
      </x:c>
      <x:c r="C5" s="18" t="str">
        <x:f>IF($C$21="","",$C$21)</x:f>
      </x:c>
      <x:c r="D5" s="18" t="str">
        <x:f>IF($C$44="","",$C$44)</x:f>
      </x:c>
      <x:c r="E5" s="23" t="str">
        <x:f t="shared" si="1">IF(OR(C5="",D5=""),"",C5*C$2+D5*D$2)</x:f>
      </x:c>
      <x:c r="G5" s="2"/>
    </x:row>
    <x:row r="6">
      <x:c r="A6" s="13"/>
      <x:c r="B6" s="26"/>
      <x:c r="C6" s="18"/>
      <x:c r="D6" s="18"/>
      <x:c r="E6" s="23">
        <x:f t="shared" si="1"/>
      </x:c>
      <x:c r="G6" s="2"/>
    </x:row>
    <x:row r="7" ht="24" customHeight="1">
      <x:c r="B7" s="74" t="str">
        <x:v>Proyecto KONOR | Gestión de turnos, asistencia y nóminas de alumnos ayudantes</x:v>
      </x:c>
      <x:c r="C7" s="74" t="str">
        <x:v>Proyecto KONOR | Gestión de turnos, asistencia y nóminas de alumnos ayudantes</x:v>
      </x:c>
      <x:c r="D7" s="74" t="str">
        <x:v>Proyecto KONOR | Gestión de turnos, asistencia y nóminas de alumnos ayudantes</x:v>
      </x:c>
      <x:c r="E7" s="74" t="str">
        <x:v>Proyecto KONOR | Gestión de turnos, asistencia y nóminas de alumnos ayudantes</x:v>
      </x:c>
      <x:c r="F7" s="74" t="str">
        <x:v>Proyecto KONOR | Gestión de turnos, asistencia y nóminas de alumnos ayudantes</x:v>
      </x:c>
      <x:c r="G7" s="74" t="str">
        <x:v>Proyecto KONOR | Gestión de turnos, asistencia y nóminas de alumnos ayudantes</x:v>
      </x:c>
      <x:c r="H7" s="74" t="str">
        <x:v>Proyecto KONOR | Gestión de turnos, asistencia y nóminas de alumnos ayudantes</x:v>
      </x:c>
      <x:c r="I7" s="74" t="str">
        <x:v>Proyecto KONOR | Gestión de turnos, asistencia y nóminas de alumnos ayudantes</x:v>
      </x:c>
      <x:c r="J7" s="74" t="str">
        <x:v>Proyecto KONOR | Gestión de turnos, asistencia y nóminas de alumnos ayudantes</x:v>
      </x:c>
      <x:c r="K7" s="74" t="str">
        <x:v>Proyecto KONOR | Gestión de turnos, asistencia y nóminas de alumnos ayudantes</x:v>
      </x:c>
    </x:row>
    <x:row r="8" ht="24" customHeight="1">
      <x:c r="B8" s="74" t="str">
        <x:v>Capstone | Ingeniería en Informática | Sede San Bernardo | Preparación al 23 de octubre de 2026</x:v>
      </x:c>
      <x:c r="C8" s="74" t="str">
        <x:v>Capstone | Ingeniería en Informática | Sede San Bernardo | Preparación al 23 de octubre de 2026</x:v>
      </x:c>
      <x:c r="D8" s="74" t="str">
        <x:v>Capstone | Ingeniería en Informática | Sede San Bernardo | Preparación al 23 de octubre de 2026</x:v>
      </x:c>
      <x:c r="E8" s="74" t="str">
        <x:v>Capstone | Ingeniería en Informática | Sede San Bernardo | Preparación al 23 de octubre de 2026</x:v>
      </x:c>
      <x:c r="F8" s="74" t="str">
        <x:v>Capstone | Ingeniería en Informática | Sede San Bernardo | Preparación al 23 de octubre de 2026</x:v>
      </x:c>
      <x:c r="G8" s="74" t="str">
        <x:v>Capstone | Ingeniería en Informática | Sede San Bernardo | Preparación al 23 de octubre de 2026</x:v>
      </x:c>
      <x:c r="H8" s="74" t="str">
        <x:v>Capstone | Ingeniería en Informática | Sede San Bernardo | Preparación al 23 de octubre de 2026</x:v>
      </x:c>
      <x:c r="I8" s="74" t="str">
        <x:v>Capstone | Ingeniería en Informática | Sede San Bernardo | Preparación al 23 de octubre de 2026</x:v>
      </x:c>
      <x:c r="J8" s="74" t="str">
        <x:v>Capstone | Ingeniería en Informática | Sede San Bernardo | Preparación al 23 de octubre de 2026</x:v>
      </x:c>
      <x:c r="K8" s="74" t="str">
        <x:v>Capstone | Ingeniería en Informática | Sede San Bernardo | Preparación al 23 de octubre de 2026</x:v>
      </x:c>
    </x:row>
    <x:row r="9" ht="24" customHeight="1">
      <x:c r="B9" s="74" t="str">
        <x:v>Planilla final preparada con el avance actual. Cumplimiento final, niveles de logro y notas pendientes de evaluación docente.</x:v>
      </x:c>
      <x:c r="C9" s="74" t="str">
        <x:v>Planilla final preparada con el avance actual. Cumplimiento final, niveles de logro y notas pendientes de evaluación docente.</x:v>
      </x:c>
      <x:c r="D9" s="74" t="str">
        <x:v>Planilla final preparada con el avance actual. Cumplimiento final, niveles de logro y notas pendientes de evaluación docente.</x:v>
      </x:c>
      <x:c r="E9" s="74" t="str">
        <x:v>Planilla final preparada con el avance actual. Cumplimiento final, niveles de logro y notas pendientes de evaluación docente.</x:v>
      </x:c>
      <x:c r="F9" s="74" t="str">
        <x:v>Planilla final preparada con el avance actual. Cumplimiento final, niveles de logro y notas pendientes de evaluación docente.</x:v>
      </x:c>
      <x:c r="G9" s="74" t="str">
        <x:v>Planilla final preparada con el avance actual. Cumplimiento final, niveles de logro y notas pendientes de evaluación docente.</x:v>
      </x:c>
      <x:c r="H9" s="74" t="str">
        <x:v>Planilla final preparada con el avance actual. Cumplimiento final, niveles de logro y notas pendientes de evaluación docente.</x:v>
      </x:c>
      <x:c r="I9" s="74" t="str">
        <x:v>Planilla final preparada con el avance actual. Cumplimiento final, niveles de logro y notas pendientes de evaluación docente.</x:v>
      </x:c>
      <x:c r="J9" s="74" t="str">
        <x:v>Planilla final preparada con el avance actual. Cumplimiento final, niveles de logro y notas pendientes de evaluación docente.</x:v>
      </x:c>
      <x:c r="K9" s="74" t="str">
        <x:v>Planilla final preparada con el avance actual. Cumplimiento final, niveles de logro y notas pendientes de evaluación docente.</x:v>
      </x:c>
    </x:row>
    <x:row r="11">
      <x:c r="A11" s="28" t="s">
        <x:v>58</x:v>
      </x:c>
      <x:c r="B11" s="29"/>
      <x:c r="C11" s="32" t="s">
        <x:v>60</x:v>
      </x:c>
      <x:c r="D11" s="34" t="s">
        <x:v>61</x:v>
      </x:c>
      <x:c r="E11" s="6"/>
      <x:c r="F11" s="6"/>
      <x:c r="G11" s="6"/>
      <x:c r="H11" s="6"/>
      <x:c r="I11" s="6"/>
      <x:c r="J11" s="6"/>
      <x:c r="K11" s="7"/>
    </x:row>
    <x:row r="12">
      <x:c r="A12" s="10"/>
      <x:c r="B12" s="37" t="s">
        <x:v>62</x:v>
      </x:c>
      <x:c r="C12" s="12"/>
      <x:c r="D12" s="34" t="s">
        <x:v>63</x:v>
      </x:c>
      <x:c r="E12" s="7"/>
      <x:c r="F12" s="34" t="s">
        <x:v>64</x:v>
      </x:c>
      <x:c r="G12" s="7"/>
      <x:c r="H12" s="34" t="s">
        <x:v>65</x:v>
      </x:c>
      <x:c r="I12" s="7"/>
      <x:c r="J12" s="34" t="s">
        <x:v>6</x:v>
      </x:c>
      <x:c r="K12" s="7"/>
    </x:row>
    <x:row r="13">
      <x:c r="A13" s="10"/>
      <x:c r="B13" s="40" t="str">
        <x:f>RUBRICA!A4</x:f>
        <x:v>1. Implementa una metodología que permite el logro de los objetivos propuestos, de acuerdo a los estándares de la disciplina.</x:v>
      </x:c>
      <x:c r="C13" s="41"/>
      <x:c r="D13" s="42" t="str">
        <x:f>IF($C13=CL,"X","")</x:f>
      </x:c>
      <x:c r="E13" s="42" t="str">
        <x:f>IF(D13="X",100*0.1,"")</x:f>
      </x:c>
      <x:c r="F13" s="42" t="str">
        <x:f>IF($C13=L,"X","")</x:f>
      </x:c>
      <x:c r="G13" s="42" t="str">
        <x:f>IF(F13="X",60*0.1,"")</x:f>
      </x:c>
      <x:c r="H13" s="42" t="str">
        <x:f>IF($C13=ML,"X","")</x:f>
      </x:c>
      <x:c r="I13" s="42" t="str">
        <x:f>IF(H13="X",30*0.1,"")</x:f>
      </x:c>
      <x:c r="J13" s="42" t="str">
        <x:f>IF($C13=NL,"X","")</x:f>
      </x:c>
      <x:c r="K13" s="42" t="str">
        <x:f t="shared" ref="K13:K19" si="2">IF(J13="X",0*0.1,"")</x:f>
      </x:c>
    </x:row>
    <x:row r="14">
      <x:c r="A14" s="10"/>
      <x:c r="B14" s="40" t="str">
        <x:f>RUBRICA!A5</x:f>
        <x:v>2. Genera evidencias que dan cuenta del cumplimiento del Proyecto CAPSTONE, en relación a documentación, programación y almacenamiento de datos, de acuerdo a lo planificado por el equipo y que cumpla con estándares de desarrollo de la industria</x:v>
      </x:c>
      <x:c r="C14" s="41"/>
      <x:c r="D14" s="42" t="str">
        <x:f>IF($C14=CL,"X","")</x:f>
      </x:c>
      <x:c r="E14" s="42" t="str">
        <x:f>IF(D14="X",100*0.2,"")</x:f>
      </x:c>
      <x:c r="F14" s="42" t="str">
        <x:f>IF($C14=L,"X","")</x:f>
      </x:c>
      <x:c r="G14" s="42" t="str">
        <x:f>IF(F14="X",60*0.2,"")</x:f>
      </x:c>
      <x:c r="H14" s="42" t="str">
        <x:f>IF($C14=ML,"X","")</x:f>
      </x:c>
      <x:c r="I14" s="42" t="str">
        <x:f>IF(H14="X",30*0.2,"")</x:f>
      </x:c>
      <x:c r="J14" s="42" t="str">
        <x:f>IF($C14=NL,"X","")</x:f>
      </x:c>
      <x:c r="K14" s="42" t="str">
        <x:f t="shared" si="2">IF(J14="X",0*0.2,"")</x:f>
      </x:c>
    </x:row>
    <x:row r="15">
      <x:c r="A15" s="10"/>
      <x:c r="B15" s="40" t="str">
        <x:f>RUBRICA!A7</x:f>
        <x:v>4. Relaciona el Proyecto APT con las competencias del perfil de egreso de su Plan de Estudio.</x:v>
      </x:c>
      <x:c r="C15" s="41"/>
      <x:c r="D15" s="42" t="str">
        <x:f>IF($C15=CL,"X","")</x:f>
      </x:c>
      <x:c r="E15" s="42" t="str">
        <x:f t="shared" ref="E15:E17" si="3">IF(D15="X",100*0.05,"")</x:f>
      </x:c>
      <x:c r="F15" s="42" t="str">
        <x:f>IF($C15=L,"X","")</x:f>
      </x:c>
      <x:c r="G15" s="42" t="str">
        <x:f t="shared" ref="G15:G17" si="4">IF(F15="X",60*0.05,"")</x:f>
      </x:c>
      <x:c r="H15" s="42" t="str">
        <x:f>IF($C15=ML,"X","")</x:f>
      </x:c>
      <x:c r="I15" s="42" t="str">
        <x:f t="shared" ref="I15:I17" si="5">IF(H15="X",30*0.05,"")</x:f>
      </x:c>
      <x:c r="J15" s="42" t="str">
        <x:f>IF($C15=NL,"X","")</x:f>
      </x:c>
      <x:c r="K15" s="42" t="str">
        <x:f t="shared" si="2">IF(J15="X",0*0.05,"")</x:f>
      </x:c>
    </x:row>
    <x:row r="16">
      <x:c r="A16" s="10"/>
      <x:c r="B16" s="40" t="str">
        <x:f>RUBRICA!A8</x:f>
        <x:v>5. Utiliza de manera precisa el lenguaje técnico en los entregables de acuerdo con lo requerido por la disciplina.</x:v>
      </x:c>
      <x:c r="C16" s="41"/>
      <x:c r="D16" s="42" t="str">
        <x:f>IF($C16=CL,"X","")</x:f>
      </x:c>
      <x:c r="E16" s="42" t="str">
        <x:f t="shared" si="3">IF(D16="X",100*0.05,"")</x:f>
      </x:c>
      <x:c r="F16" s="42" t="str">
        <x:f>IF($C16=L,"X","")</x:f>
      </x:c>
      <x:c r="G16" s="42" t="str">
        <x:f t="shared" si="4">IF(F16="X",60*0.05,"")</x:f>
      </x:c>
      <x:c r="H16" s="42" t="str">
        <x:f>IF($C16=ML,"X","")</x:f>
      </x:c>
      <x:c r="I16" s="42" t="str">
        <x:f t="shared" si="5">IF(H16="X",30*0.05,"")</x:f>
      </x:c>
      <x:c r="J16" s="42" t="str">
        <x:f>IF($C16=NL,"X","")</x:f>
      </x:c>
      <x:c r="K16" s="42" t="str">
        <x:f t="shared" si="2">IF(J16="X",0*0.05,"")</x:f>
      </x:c>
    </x:row>
    <x:row r="17">
      <x:c r="A17" s="10"/>
      <x:c r="B17" s="40" t="str">
        <x:f>RUBRICA!A9</x:f>
        <x:v>6. Utiliza correctamente las reglas de redacción, ortografía (literal, puntual, acentual) y las normas para citas y referencias. </x:v>
      </x:c>
      <x:c r="C17" s="41"/>
      <x:c r="D17" s="42" t="str">
        <x:f>IF($C17=CL,"X","")</x:f>
      </x:c>
      <x:c r="E17" s="42" t="str">
        <x:f t="shared" si="3">IF(D17="X",100*0.05,"")</x:f>
      </x:c>
      <x:c r="F17" s="42" t="str">
        <x:f>IF($C17=L,"X","")</x:f>
      </x:c>
      <x:c r="G17" s="42" t="str">
        <x:f t="shared" si="4">IF(F17="X",60*0.05,"")</x:f>
      </x:c>
      <x:c r="H17" s="42" t="str">
        <x:f>IF($C17=ML,"X","")</x:f>
      </x:c>
      <x:c r="I17" s="42" t="str">
        <x:f t="shared" si="5">IF(H17="X",30*0.05,"")</x:f>
      </x:c>
      <x:c r="J17" s="42" t="str">
        <x:f>IF($C17=NL,"X","")</x:f>
      </x:c>
      <x:c r="K17" s="42" t="str">
        <x:f t="shared" si="2">IF(J17="X",0*0.05,"")</x:f>
      </x:c>
    </x:row>
    <x:row r="18">
      <x:c r="A18" s="10"/>
      <x:c r="B18" s="40" t="str">
        <x:f>RUBRICA!A10</x:f>
        <x:v>7. Entrega la documentación y evidencias requerida por la asignatura de acuerdo a la estrucutra y nombres solicitados, guardando todas las evidencias de avances en Git</x:v>
      </x:c>
      <x:c r="C18" s="41"/>
      <x:c r="D18" s="42" t="str">
        <x:f>IF($C18=CL,"X","")</x:f>
      </x:c>
      <x:c r="E18" s="42" t="str">
        <x:f t="shared" ref="E18:E19" si="6">IF(D18="X",100*0.15,"")</x:f>
      </x:c>
      <x:c r="F18" s="42" t="str">
        <x:f>IF($C18=L,"X","")</x:f>
      </x:c>
      <x:c r="G18" s="42" t="str">
        <x:f t="shared" ref="G18:G19" si="7">IF(F18="X",60*0.15,"")</x:f>
      </x:c>
      <x:c r="H18" s="42" t="str">
        <x:f>IF($C18=ML,"X","")</x:f>
      </x:c>
      <x:c r="I18" s="42" t="str">
        <x:f t="shared" ref="I18:I19" si="8">IF(H18="X",30*0.15,"")</x:f>
      </x:c>
      <x:c r="J18" s="42" t="str">
        <x:f>IF($C18=NL,"X","")</x:f>
      </x:c>
      <x:c r="K18" s="42" t="str">
        <x:f t="shared" si="2">IF(J18="X",0*0.15,"")</x:f>
      </x:c>
    </x:row>
    <x:row r="19" ht="22.5" customHeight="1">
      <x:c r="A19" s="10"/>
      <x:c r="B19" s="40" t="str">
        <x:f>RUBRICA!A12</x:f>
        <x:v>9.-Generan evidencias claras dentro del repositorio  del aporte de cada uno de los integrantes del equipo que permitan identificar la equidad en el trabajo y la participación de cada estudiante.</x:v>
      </x:c>
      <x:c r="C19" s="53"/>
      <x:c r="D19" s="42" t="str">
        <x:f>IF($C19=CL,"X","")</x:f>
      </x:c>
      <x:c r="E19" s="42" t="str">
        <x:f t="shared" si="6">IF(D19="X",100*0.15,"")</x:f>
      </x:c>
      <x:c r="F19" s="42" t="str">
        <x:f>IF($C19=L,"X","")</x:f>
      </x:c>
      <x:c r="G19" s="42" t="str">
        <x:f t="shared" si="7">IF(F19="X",60*0.15,"")</x:f>
      </x:c>
      <x:c r="H19" s="42" t="str">
        <x:f>IF($C19=ML,"X","")</x:f>
      </x:c>
      <x:c r="I19" s="42" t="str">
        <x:f t="shared" si="8">IF(H19="X",30*0.15,"")</x:f>
      </x:c>
      <x:c r="J19" s="42" t="str">
        <x:f>IF($C19=NL,"X","")</x:f>
      </x:c>
      <x:c r="K19" s="42" t="str">
        <x:f t="shared" si="2">IF(J19="X",0*0.15,"")</x:f>
      </x:c>
    </x:row>
    <x:row r="20" ht="15.75" customHeight="1">
      <x:c r="A20" s="10"/>
      <x:c r="B20" s="54" t="s">
        <x:v>66</x:v>
      </x:c>
      <x:c r="C20" s="55" t="str">
        <x:f>IF(OR($B$4="",COUNTA(C13:C19)&lt;7),"",E20+G20+I20+K20)</x:f>
      </x:c>
      <x:c r="D20" s="56"/>
      <x:c r="E20" s="56" t="n">
        <x:f>SUM(E13:E19)</x:f>
        <x:v>0</x:v>
      </x:c>
      <x:c r="F20" s="56"/>
      <x:c r="G20" s="56" t="n">
        <x:f>SUM(G13:G19)</x:f>
        <x:v>0</x:v>
      </x:c>
      <x:c r="H20" s="56"/>
      <x:c r="I20" s="56" t="n">
        <x:f>SUM(I13:I19)</x:f>
        <x:v>0</x:v>
      </x:c>
      <x:c r="J20" s="56"/>
      <x:c r="K20" s="56" t="n">
        <x:f>SUM(K13:K19)</x:f>
        <x:v>0</x:v>
      </x:c>
    </x:row>
    <x:row r="21" ht="15.75" customHeight="1">
      <x:c r="A21" s="12"/>
      <x:c r="B21" s="57" t="s">
        <x:v>67</x:v>
      </x:c>
      <x:c r="C21" s="58" t="str">
        <x:f>IF(C20="","",VLOOKUP(C20,ESCALA_IEP!A2:B152,2,FALSE))</x:f>
      </x:c>
    </x:row>
    <x:row r="22" ht="15.75" customHeight="1"/>
    <x:row r="23" ht="15.75" customHeight="1"/>
    <x:row r="24" ht="15.75" customHeight="1">
      <x:c r="A24" s="59" t="s">
        <x:v>59</x:v>
      </x:c>
      <x:c r="B24" s="60" t="s">
        <x:v>68</x:v>
      </x:c>
      <x:c r="C24" s="61" t="str">
        <x:f>$B$4</x:f>
        <x:v>Danitza Arias Garrido</x:v>
      </x:c>
      <x:c r="D24" s="62"/>
      <x:c r="E24" s="62"/>
      <x:c r="F24" s="62"/>
      <x:c r="G24" s="62"/>
      <x:c r="H24" s="62"/>
      <x:c r="I24" s="62"/>
      <x:c r="J24" s="62"/>
      <x:c r="K24" s="63"/>
    </x:row>
    <x:row r="25" ht="15.75" customHeight="1">
      <x:c r="A25" s="10"/>
      <x:c r="B25" s="12"/>
      <x:c r="C25" s="64"/>
      <x:c r="D25" s="65"/>
      <x:c r="E25" s="65"/>
      <x:c r="F25" s="65"/>
      <x:c r="G25" s="65"/>
      <x:c r="H25" s="65"/>
      <x:c r="I25" s="65"/>
      <x:c r="J25" s="65"/>
      <x:c r="K25" s="66"/>
    </x:row>
    <x:row r="26" ht="15.75" customHeight="1">
      <x:c r="A26" s="10"/>
      <x:c r="B26" s="29" t="s">
        <x:v>69</x:v>
      </x:c>
      <x:c r="C26" s="32" t="s">
        <x:v>60</x:v>
      </x:c>
      <x:c r="D26" s="34" t="s">
        <x:v>61</x:v>
      </x:c>
      <x:c r="E26" s="6"/>
      <x:c r="F26" s="6"/>
      <x:c r="G26" s="6"/>
      <x:c r="H26" s="6"/>
      <x:c r="I26" s="6"/>
      <x:c r="J26" s="6"/>
      <x:c r="K26" s="7"/>
    </x:row>
    <x:row r="27" ht="15.75" customHeight="1">
      <x:c r="A27" s="10"/>
      <x:c r="B27" s="67" t="s">
        <x:v>62</x:v>
      </x:c>
      <x:c r="C27" s="12"/>
      <x:c r="D27" s="34" t="s">
        <x:v>63</x:v>
      </x:c>
      <x:c r="E27" s="7"/>
      <x:c r="F27" s="34" t="s">
        <x:v>64</x:v>
      </x:c>
      <x:c r="G27" s="7"/>
      <x:c r="H27" s="34" t="s">
        <x:v>65</x:v>
      </x:c>
      <x:c r="I27" s="7"/>
      <x:c r="J27" s="34" t="s">
        <x:v>6</x:v>
      </x:c>
      <x:c r="K27" s="7"/>
    </x:row>
    <x:row r="28" ht="15.75" customHeight="1">
      <x:c r="A28" s="10"/>
      <x:c r="B28" s="40" t="str">
        <x:f>RUBRICA!A6</x:f>
        <x:v>3. Relaciona el Proyecto APT con sus intereses profesionales. *</x:v>
      </x:c>
      <x:c r="C28" s="41"/>
      <x:c r="D28" s="42" t="str">
        <x:f>IF($C28=CL,"X","")</x:f>
      </x:c>
      <x:c r="E28" s="42" t="str">
        <x:f>IF(D28="X",100*0.05,"")</x:f>
      </x:c>
      <x:c r="F28" s="42" t="str">
        <x:f>IF($C28=L,"X","")</x:f>
      </x:c>
      <x:c r="G28" s="42" t="str">
        <x:f>IF(F28="X",60*0.05,"")</x:f>
      </x:c>
      <x:c r="H28" s="42" t="str">
        <x:f>IF($C28=ML,"X","")</x:f>
      </x:c>
      <x:c r="I28" s="42" t="str">
        <x:f>IF(H28="X",30*0.05,"")</x:f>
      </x:c>
      <x:c r="J28" s="42" t="str">
        <x:f>IF($C28=NL,"X","")</x:f>
      </x:c>
      <x:c r="K28" s="42" t="str">
        <x:f t="shared" ref="K28:K30" si="9">IF(J28="X",0*0.05,"")</x:f>
      </x:c>
    </x:row>
    <x:row r="29" ht="24" customHeight="1">
      <x:c r="A29" s="10"/>
      <x:c r="B29" s="40" t="str">
        <x:f>RUBRICA!A11</x:f>
        <x:v>8. Expone el tema utilizando un lenguaje técnico disciplinar al presentar la propuesta y responde evidenciando un manejo de la información. *</x:v>
      </x:c>
      <x:c r="C29" s="41"/>
      <x:c r="D29" s="42" t="str">
        <x:f>IF($C29=CL,"X","")</x:f>
      </x:c>
      <x:c r="E29" s="42" t="str">
        <x:f t="shared" ref="E29:E30" si="10">IF(D29="X",100*0.1,"")</x:f>
      </x:c>
      <x:c r="F29" s="42" t="str">
        <x:f>IF($C29=L,"X","")</x:f>
      </x:c>
      <x:c r="G29" s="42" t="str">
        <x:f t="shared" ref="G29:G30" si="11">IF(F29="X",60*0.1,"")</x:f>
      </x:c>
      <x:c r="H29" s="42" t="str">
        <x:f>IF($C29=ML,"X","")</x:f>
      </x:c>
      <x:c r="I29" s="42" t="str">
        <x:f t="shared" ref="I29:I30" si="12">IF(H29="X",30*0.1,"")</x:f>
      </x:c>
      <x:c r="J29" s="42" t="str">
        <x:f>IF($C29=NL,"X","")</x:f>
      </x:c>
      <x:c r="K29" s="42" t="str">
        <x:f t="shared" si="9">IF(J29="X",0*0.1,"")</x:f>
      </x:c>
    </x:row>
    <x:row r="30" ht="25.5" customHeight="1">
      <x:c r="A30" s="10"/>
      <x:c r="B30" s="40" t="str">
        <x:f>RUBRICA!A13</x:f>
        <x:v>10. Colaboración y trabajo en equipo *</x:v>
      </x:c>
      <x:c r="C30" s="41"/>
      <x:c r="D30" s="42" t="str">
        <x:f>IF($C30=CL,"X","")</x:f>
      </x:c>
      <x:c r="E30" s="42" t="str">
        <x:f t="shared" si="10">IF(D30="X",100*0.1,"")</x:f>
      </x:c>
      <x:c r="F30" s="42" t="str">
        <x:f>IF($C30=L,"X","")</x:f>
      </x:c>
      <x:c r="G30" s="42" t="str">
        <x:f t="shared" si="11">IF(F30="X",60*0.1,"")</x:f>
      </x:c>
      <x:c r="H30" s="42" t="str">
        <x:f>IF($C30=ML,"X","")</x:f>
      </x:c>
      <x:c r="I30" s="42" t="str">
        <x:f t="shared" si="12">IF(H30="X",30*0.1,"")</x:f>
      </x:c>
      <x:c r="J30" s="42" t="str">
        <x:f>IF($C30=NL,"X","")</x:f>
      </x:c>
      <x:c r="K30" s="42" t="str">
        <x:f t="shared" si="9">IF(J30="X",0*0.1,"")</x:f>
      </x:c>
    </x:row>
    <x:row r="31" ht="15.75" customHeight="1">
      <x:c r="A31" s="10"/>
      <x:c r="B31" s="68" t="s">
        <x:v>70</x:v>
      </x:c>
      <x:c r="C31" s="69" t="str">
        <x:f>IF(OR($B$4="",COUNTA(C28:C30)&lt;3),"",E31+G31+I31+K31)</x:f>
      </x:c>
      <x:c r="D31" s="56"/>
      <x:c r="E31" s="56" t="n">
        <x:f>SUM(E28:E30)</x:f>
        <x:v>0</x:v>
      </x:c>
      <x:c r="F31" s="56"/>
      <x:c r="G31" s="56" t="n">
        <x:f>SUM(G28:G30)</x:f>
        <x:v>0</x:v>
      </x:c>
      <x:c r="H31" s="56"/>
      <x:c r="I31" s="56" t="n">
        <x:f>SUM(I28:I30)</x:f>
        <x:v>0</x:v>
      </x:c>
      <x:c r="J31" s="56"/>
      <x:c r="K31" s="56" t="n">
        <x:f>SUM(K28:K30)</x:f>
        <x:v>0</x:v>
      </x:c>
    </x:row>
    <x:row r="32" ht="15.75" customHeight="1">
      <x:c r="A32" s="12"/>
      <x:c r="B32" s="70" t="s">
        <x:v>67</x:v>
      </x:c>
      <x:c r="C32" s="58" t="str">
        <x:f>IF(C31="","",VLOOKUP(C31,ESCALA_TRAB_EQUIP!A2:B52,2,FALSE))</x:f>
      </x:c>
    </x:row>
    <x:row r="33" ht="15.75" customHeight="1">
      <x:c r="B33" s="71"/>
      <x:c r="C33" s="72"/>
    </x:row>
    <x:row r="34" ht="15.75" customHeight="1">
      <x:c r="B34" s="71"/>
      <x:c r="C34" s="72"/>
    </x:row>
    <x:row r="35" ht="15.75" customHeight="1"/>
    <x:row r="36" ht="15.75" customHeight="1">
      <x:c r="A36" s="59" t="s">
        <x:v>59</x:v>
      </x:c>
      <x:c r="B36" s="60" t="s">
        <x:v>68</x:v>
      </x:c>
      <x:c r="C36" s="61" t="str">
        <x:f>$B$5</x:f>
        <x:v>Catalina Benítez Bravo</x:v>
      </x:c>
      <x:c r="D36" s="62"/>
      <x:c r="E36" s="62"/>
      <x:c r="F36" s="62"/>
      <x:c r="G36" s="62"/>
      <x:c r="H36" s="62"/>
      <x:c r="I36" s="62"/>
      <x:c r="J36" s="62"/>
      <x:c r="K36" s="63"/>
    </x:row>
    <x:row r="37" ht="15.75" customHeight="1">
      <x:c r="A37" s="10"/>
      <x:c r="B37" s="12"/>
      <x:c r="C37" s="64"/>
      <x:c r="D37" s="65"/>
      <x:c r="E37" s="65"/>
      <x:c r="F37" s="65"/>
      <x:c r="G37" s="65"/>
      <x:c r="H37" s="65"/>
      <x:c r="I37" s="65"/>
      <x:c r="J37" s="65"/>
      <x:c r="K37" s="66"/>
    </x:row>
    <x:row r="38" ht="15.75" customHeight="1">
      <x:c r="A38" s="10"/>
      <x:c r="B38" s="29" t="s">
        <x:v>69</x:v>
      </x:c>
      <x:c r="C38" s="32" t="s">
        <x:v>60</x:v>
      </x:c>
      <x:c r="D38" s="34" t="s">
        <x:v>61</x:v>
      </x:c>
      <x:c r="E38" s="6"/>
      <x:c r="F38" s="6"/>
      <x:c r="G38" s="6"/>
      <x:c r="H38" s="6"/>
      <x:c r="I38" s="6"/>
      <x:c r="J38" s="6"/>
      <x:c r="K38" s="7"/>
    </x:row>
    <x:row r="39" ht="15.75" customHeight="1">
      <x:c r="A39" s="10"/>
      <x:c r="B39" s="67" t="s">
        <x:v>62</x:v>
      </x:c>
      <x:c r="C39" s="12"/>
      <x:c r="D39" s="34" t="s">
        <x:v>63</x:v>
      </x:c>
      <x:c r="E39" s="7"/>
      <x:c r="F39" s="34" t="s">
        <x:v>64</x:v>
      </x:c>
      <x:c r="G39" s="7"/>
      <x:c r="H39" s="34" t="s">
        <x:v>65</x:v>
      </x:c>
      <x:c r="I39" s="7"/>
      <x:c r="J39" s="34" t="s">
        <x:v>6</x:v>
      </x:c>
      <x:c r="K39" s="7"/>
    </x:row>
    <x:row r="40" ht="15.75" customHeight="1">
      <x:c r="A40" s="10"/>
      <x:c r="B40" s="40" t="str">
        <x:f>RUBRICA!A6</x:f>
        <x:v>3. Relaciona el Proyecto APT con sus intereses profesionales. *</x:v>
      </x:c>
      <x:c r="C40" s="41"/>
      <x:c r="D40" s="42" t="str">
        <x:f>IF($C40=CL,"X","")</x:f>
      </x:c>
      <x:c r="E40" s="42" t="str">
        <x:f>IF(D40="X",100*0.05,"")</x:f>
      </x:c>
      <x:c r="F40" s="42" t="str">
        <x:f>IF($C40=L,"X","")</x:f>
      </x:c>
      <x:c r="G40" s="42" t="str">
        <x:f>IF(F40="X",60*0.05,"")</x:f>
      </x:c>
      <x:c r="H40" s="42" t="str">
        <x:f>IF($C40=ML,"X","")</x:f>
      </x:c>
      <x:c r="I40" s="42" t="str">
        <x:f>IF(H40="X",30*0.05,"")</x:f>
      </x:c>
      <x:c r="J40" s="42" t="str">
        <x:f>IF($C40=NL,"X","")</x:f>
      </x:c>
      <x:c r="K40" s="42" t="str">
        <x:f t="shared" ref="K40:K42" si="13">IF(J40="X",0*0.05,"")</x:f>
      </x:c>
    </x:row>
    <x:row r="41" ht="25.5" customHeight="1">
      <x:c r="A41" s="10"/>
      <x:c r="B41" s="40" t="str">
        <x:f>RUBRICA!A11</x:f>
        <x:v>8. Expone el tema utilizando un lenguaje técnico disciplinar al presentar la propuesta y responde evidenciando un manejo de la información. *</x:v>
      </x:c>
      <x:c r="C41" s="41"/>
      <x:c r="D41" s="42" t="str">
        <x:f>IF($C41=CL,"X","")</x:f>
      </x:c>
      <x:c r="E41" s="42" t="str">
        <x:f t="shared" ref="E41:E42" si="14">IF(D41="X",100*0.1,"")</x:f>
      </x:c>
      <x:c r="F41" s="42" t="str">
        <x:f>IF($C41=L,"X","")</x:f>
      </x:c>
      <x:c r="G41" s="42" t="str">
        <x:f t="shared" ref="G41:G42" si="15">IF(F41="X",60*0.1,"")</x:f>
      </x:c>
      <x:c r="H41" s="42" t="str">
        <x:f>IF($C41=ML,"X","")</x:f>
      </x:c>
      <x:c r="I41" s="42" t="str">
        <x:f t="shared" ref="I41:I42" si="16">IF(H41="X",30*0.1,"")</x:f>
      </x:c>
      <x:c r="J41" s="42" t="str">
        <x:f>IF($C41=NL,"X","")</x:f>
      </x:c>
      <x:c r="K41" s="42" t="str">
        <x:f t="shared" si="13">IF(J41="X",0*0.1,"")</x:f>
      </x:c>
    </x:row>
    <x:row r="42" ht="15.75" customHeight="1">
      <x:c r="A42" s="10"/>
      <x:c r="B42" s="40" t="str">
        <x:f>RUBRICA!A13</x:f>
        <x:v>10. Colaboración y trabajo en equipo *</x:v>
      </x:c>
      <x:c r="C42" s="41"/>
      <x:c r="D42" s="42" t="str">
        <x:f>IF($C42=CL,"X","")</x:f>
      </x:c>
      <x:c r="E42" s="42" t="str">
        <x:f t="shared" si="14">IF(D42="X",100*0.1,"")</x:f>
      </x:c>
      <x:c r="F42" s="42" t="str">
        <x:f>IF($C42=L,"X","")</x:f>
      </x:c>
      <x:c r="G42" s="42" t="str">
        <x:f t="shared" si="15">IF(F42="X",60*0.1,"")</x:f>
      </x:c>
      <x:c r="H42" s="42" t="str">
        <x:f>IF($C42=ML,"X","")</x:f>
      </x:c>
      <x:c r="I42" s="42" t="str">
        <x:f t="shared" si="16">IF(H42="X",30*0.1,"")</x:f>
      </x:c>
      <x:c r="J42" s="42" t="str">
        <x:f>IF($C42=NL,"X","")</x:f>
      </x:c>
      <x:c r="K42" s="42" t="str">
        <x:f t="shared" si="13">IF(J42="X",0*0.1,"")</x:f>
      </x:c>
    </x:row>
    <x:row r="43" ht="15.75" customHeight="1">
      <x:c r="A43" s="10"/>
      <x:c r="B43" s="68" t="s">
        <x:v>70</x:v>
      </x:c>
      <x:c r="C43" s="69" t="str">
        <x:f>IF(OR($B$5="",COUNTA(C40:C42)&lt;3),"",E43+G43+I43+K43)</x:f>
      </x:c>
      <x:c r="D43" s="56"/>
      <x:c r="E43" s="56" t="n">
        <x:f>SUM(E40:E42)</x:f>
        <x:v>0</x:v>
      </x:c>
      <x:c r="F43" s="56"/>
      <x:c r="G43" s="56" t="n">
        <x:f>SUM(G40:G42)</x:f>
        <x:v>0</x:v>
      </x:c>
      <x:c r="H43" s="56"/>
      <x:c r="I43" s="56" t="n">
        <x:f>SUM(I40:I42)</x:f>
        <x:v>0</x:v>
      </x:c>
      <x:c r="J43" s="56"/>
      <x:c r="K43" s="56" t="n">
        <x:f>SUM(K40:K42)</x:f>
        <x:v>0</x:v>
      </x:c>
    </x:row>
    <x:row r="44" ht="15.75" customHeight="1">
      <x:c r="A44" s="12"/>
      <x:c r="B44" s="70" t="s">
        <x:v>67</x:v>
      </x:c>
      <x:c r="C44" s="58" t="str">
        <x:f>IF(C43="","",VLOOKUP(C43,ESCALA_TRAB_EQUIP!A2:B52,2,FALSE))</x:f>
      </x:c>
    </x:row>
    <x:row r="45" ht="15.75" customHeight="1">
      <x:c r="B45" s="71"/>
      <x:c r="C45" s="72"/>
    </x:row>
    <x:row r="46" ht="15.75" customHeight="1">
      <x:c r="B46" s="71"/>
      <x:c r="C46" s="72"/>
    </x:row>
    <x:row r="47" ht="15.75" customHeight="1">
      <x:c r="A47" s="59" t="s">
        <x:v>59</x:v>
      </x:c>
      <x:c r="B47" s="60" t="s">
        <x:v>68</x:v>
      </x:c>
      <x:c r="C47" s="61" t="str">
        <x:v>No aplica: el equipo está compuesto por dos integrantes.</x:v>
      </x:c>
      <x:c r="D47" s="62"/>
      <x:c r="E47" s="62"/>
      <x:c r="F47" s="62"/>
      <x:c r="G47" s="62"/>
      <x:c r="H47" s="62"/>
      <x:c r="I47" s="62"/>
      <x:c r="J47" s="62"/>
      <x:c r="K47" s="63"/>
    </x:row>
    <x:row r="48" ht="15.75" customHeight="1">
      <x:c r="A48" s="10"/>
      <x:c r="B48" s="12"/>
      <x:c r="C48" s="64"/>
      <x:c r="D48" s="65"/>
      <x:c r="E48" s="65"/>
      <x:c r="F48" s="65"/>
      <x:c r="G48" s="65"/>
      <x:c r="H48" s="65"/>
      <x:c r="I48" s="65"/>
      <x:c r="J48" s="65"/>
      <x:c r="K48" s="66"/>
    </x:row>
    <x:row r="49" ht="15.75" customHeight="1">
      <x:c r="A49" s="10"/>
      <x:c r="B49" s="29" t="s">
        <x:v>69</x:v>
      </x:c>
      <x:c r="C49" s="32" t="s">
        <x:v>60</x:v>
      </x:c>
      <x:c r="D49" s="34" t="s">
        <x:v>61</x:v>
      </x:c>
      <x:c r="E49" s="6"/>
      <x:c r="F49" s="6"/>
      <x:c r="G49" s="6"/>
      <x:c r="H49" s="6"/>
      <x:c r="I49" s="6"/>
      <x:c r="J49" s="6"/>
      <x:c r="K49" s="7"/>
    </x:row>
    <x:row r="50" ht="15.75" customHeight="1">
      <x:c r="A50" s="10"/>
      <x:c r="B50" s="67" t="s">
        <x:v>62</x:v>
      </x:c>
      <x:c r="C50" s="12"/>
      <x:c r="D50" s="34" t="s">
        <x:v>63</x:v>
      </x:c>
      <x:c r="E50" s="7"/>
      <x:c r="F50" s="34" t="s">
        <x:v>64</x:v>
      </x:c>
      <x:c r="G50" s="7"/>
      <x:c r="H50" s="34" t="s">
        <x:v>65</x:v>
      </x:c>
      <x:c r="I50" s="7"/>
      <x:c r="J50" s="34" t="s">
        <x:v>6</x:v>
      </x:c>
      <x:c r="K50" s="7"/>
    </x:row>
    <x:row r="51" ht="15.75" customHeight="1">
      <x:c r="A51" s="10"/>
      <x:c r="B51" s="40" t="str">
        <x:f>RUBRICA!A6</x:f>
        <x:v>3. Relaciona el Proyecto APT con sus intereses profesionales. *</x:v>
      </x:c>
      <x:c r="C51" s="41"/>
      <x:c r="D51" s="42" t="str">
        <x:f>IF($C51=CL,"X","")</x:f>
      </x:c>
      <x:c r="E51" s="42" t="str">
        <x:f>IF(D51="X",100*0.05,"")</x:f>
      </x:c>
      <x:c r="F51" s="42" t="str">
        <x:f>IF($C51=L,"X","")</x:f>
      </x:c>
      <x:c r="G51" s="42" t="str">
        <x:f>IF(F51="X",60*0.05,"")</x:f>
      </x:c>
      <x:c r="H51" s="42" t="str">
        <x:f>IF($C51=ML,"X","")</x:f>
      </x:c>
      <x:c r="I51" s="42" t="str">
        <x:f>IF(H51="X",30*0.05,"")</x:f>
      </x:c>
      <x:c r="J51" s="42" t="str">
        <x:f>IF($C51=NL,"X","")</x:f>
      </x:c>
      <x:c r="K51" s="42" t="str">
        <x:f t="shared" ref="K51:K53" si="17">IF(J51="X",0*0.05,"")</x:f>
      </x:c>
    </x:row>
    <x:row r="52" ht="25.5" customHeight="1">
      <x:c r="A52" s="10"/>
      <x:c r="B52" s="40" t="str">
        <x:f>RUBRICA!A11</x:f>
        <x:v>8. Expone el tema utilizando un lenguaje técnico disciplinar al presentar la propuesta y responde evidenciando un manejo de la información. *</x:v>
      </x:c>
      <x:c r="C52" s="41"/>
      <x:c r="D52" s="42" t="str">
        <x:f>IF($C52=CL,"X","")</x:f>
      </x:c>
      <x:c r="E52" s="42" t="str">
        <x:f t="shared" ref="E52:E53" si="18">IF(D52="X",100*0.1,"")</x:f>
      </x:c>
      <x:c r="F52" s="42" t="str">
        <x:f>IF($C52=L,"X","")</x:f>
      </x:c>
      <x:c r="G52" s="42" t="str">
        <x:f t="shared" ref="G52:G53" si="19">IF(F52="X",60*0.1,"")</x:f>
      </x:c>
      <x:c r="H52" s="42" t="str">
        <x:f>IF($C52=ML,"X","")</x:f>
      </x:c>
      <x:c r="I52" s="42" t="str">
        <x:f t="shared" ref="I52:I53" si="20">IF(H52="X",30*0.1,"")</x:f>
      </x:c>
      <x:c r="J52" s="42" t="str">
        <x:f>IF($C52=NL,"X","")</x:f>
      </x:c>
      <x:c r="K52" s="42" t="str">
        <x:f t="shared" si="17">IF(J52="X",0*0.1,"")</x:f>
      </x:c>
    </x:row>
    <x:row r="53" ht="15.75" customHeight="1">
      <x:c r="A53" s="10"/>
      <x:c r="B53" s="40" t="str">
        <x:f>RUBRICA!A13</x:f>
        <x:v>10. Colaboración y trabajo en equipo *</x:v>
      </x:c>
      <x:c r="C53" s="41"/>
      <x:c r="D53" s="42" t="str">
        <x:f>IF($C53=CL,"X","")</x:f>
      </x:c>
      <x:c r="E53" s="42" t="str">
        <x:f t="shared" si="18">IF(D53="X",100*0.1,"")</x:f>
      </x:c>
      <x:c r="F53" s="42" t="str">
        <x:f>IF($C53=L,"X","")</x:f>
      </x:c>
      <x:c r="G53" s="42" t="str">
        <x:f t="shared" si="19">IF(F53="X",60*0.1,"")</x:f>
      </x:c>
      <x:c r="H53" s="42" t="str">
        <x:f>IF($C53=ML,"X","")</x:f>
      </x:c>
      <x:c r="I53" s="42" t="str">
        <x:f t="shared" si="20">IF(H53="X",30*0.1,"")</x:f>
      </x:c>
      <x:c r="J53" s="42" t="str">
        <x:f>IF($C53=NL,"X","")</x:f>
      </x:c>
      <x:c r="K53" s="42" t="str">
        <x:f t="shared" si="17">IF(J53="X",0*0.1,"")</x:f>
      </x:c>
    </x:row>
    <x:row r="54" ht="15.75" customHeight="1">
      <x:c r="A54" s="10"/>
      <x:c r="B54" s="68" t="s">
        <x:v>70</x:v>
      </x:c>
      <x:c r="C54" s="69" t="str">
        <x:f>IF(OR($B$6="",COUNTA(C51:C53)&lt;3),"",E54+G54+I54+K54)</x:f>
      </x:c>
      <x:c r="D54" s="56"/>
      <x:c r="E54" s="56" t="n">
        <x:f>SUM(E51:E53)</x:f>
        <x:v>0</x:v>
      </x:c>
      <x:c r="F54" s="56"/>
      <x:c r="G54" s="56" t="n">
        <x:f>SUM(G51:G53)</x:f>
        <x:v>0</x:v>
      </x:c>
      <x:c r="H54" s="56"/>
      <x:c r="I54" s="56" t="n">
        <x:f>SUM(I51:I53)</x:f>
        <x:v>0</x:v>
      </x:c>
      <x:c r="J54" s="56"/>
      <x:c r="K54" s="56" t="n">
        <x:f>SUM(K51:K53)</x:f>
        <x:v>0</x:v>
      </x:c>
    </x:row>
    <x:row r="55" ht="15.75" customHeight="1">
      <x:c r="A55" s="12"/>
      <x:c r="B55" s="70" t="s">
        <x:v>67</x:v>
      </x:c>
      <x:c r="C55" s="58" t="str">
        <x:f>IF(C54="","",VLOOKUP(C54,ESCALA_TRAB_EQUIP!A2:B52,2,FALSE))</x:f>
      </x:c>
    </x:row>
    <x:row r="56" ht="15.75" customHeight="1">
      <x:c r="B56" s="71"/>
      <x:c r="C56" s="72"/>
    </x:row>
    <x:row r="57" ht="15.75" customHeight="1"/>
    <x:row r="58" ht="26" customHeight="1">
      <x:c r="B58" s="77" t="str">
        <x:v>Antecedentes de KONOR para la evaluación final de Fase 2</x:v>
      </x:c>
      <x:c r="C58" s="77" t="str">
        <x:v>Antecedentes de KONOR para la evaluación final de Fase 2</x:v>
      </x:c>
      <x:c r="D58" s="77" t="str">
        <x:v>Antecedentes de KONOR para la evaluación final de Fase 2</x:v>
      </x:c>
      <x:c r="E58" s="77" t="str">
        <x:v>Antecedentes de KONOR para la evaluación final de Fase 2</x:v>
      </x:c>
      <x:c r="F58" s="77" t="str">
        <x:v>Antecedentes de KONOR para la evaluación final de Fase 2</x:v>
      </x:c>
      <x:c r="G58" s="77" t="str">
        <x:v>Antecedentes de KONOR para la evaluación final de Fase 2</x:v>
      </x:c>
      <x:c r="H58" s="77" t="str">
        <x:v>Antecedentes de KONOR para la evaluación final de Fase 2</x:v>
      </x:c>
      <x:c r="I58" s="77" t="str">
        <x:v>Antecedentes de KONOR para la evaluación final de Fase 2</x:v>
      </x:c>
      <x:c r="J58" s="77" t="str">
        <x:v>Antecedentes de KONOR para la evaluación final de Fase 2</x:v>
      </x:c>
      <x:c r="K58" s="77" t="str">
        <x:v>Antecedentes de KONOR para la evaluación final de Fase 2</x:v>
      </x:c>
    </x:row>
    <x:row r="59" ht="64" customHeight="1">
      <x:c r="B59" s="81" t="str">
        <x:v>Grupal 1 Metodología</x:v>
      </x:c>
      <x:c r="C59" s="80" t="str">
        <x:v>Scrum adaptado a dos integrantes, 21 historias y backlog priorizado. Se conserva la planificación por sprints y el seguimiento de dependencias. El cumplimiento final de objetivos se contrastará con el incremento entregado y las evidencias de validación.</x:v>
      </x:c>
      <x:c r="D59" s="80" t="str">
        <x:v>Scrum adaptado a dos integrantes, 21 historias y backlog priorizado. Se conserva la planificación por sprints y el seguimiento de dependencias. El cumplimiento final de objetivos se contrastará con el incremento entregado y las evidencias de validación.</x:v>
      </x:c>
      <x:c r="E59" s="80" t="str">
        <x:v>Scrum adaptado a dos integrantes, 21 historias y backlog priorizado. Se conserva la planificación por sprints y el seguimiento de dependencias. El cumplimiento final de objetivos se contrastará con el incremento entregado y las evidencias de validación.</x:v>
      </x:c>
      <x:c r="F59" s="80" t="str">
        <x:v>Scrum adaptado a dos integrantes, 21 historias y backlog priorizado. Se conserva la planificación por sprints y el seguimiento de dependencias. El cumplimiento final de objetivos se contrastará con el incremento entregado y las evidencias de validación.</x:v>
      </x:c>
      <x:c r="G59" s="80" t="str">
        <x:v>Scrum adaptado a dos integrantes, 21 historias y backlog priorizado. Se conserva la planificación por sprints y el seguimiento de dependencias. El cumplimiento final de objetivos se contrastará con el incremento entregado y las evidencias de validación.</x:v>
      </x:c>
      <x:c r="H59" s="80" t="str">
        <x:v>Scrum adaptado a dos integrantes, 21 historias y backlog priorizado. Se conserva la planificación por sprints y el seguimiento de dependencias. El cumplimiento final de objetivos se contrastará con el incremento entregado y las evidencias de validación.</x:v>
      </x:c>
      <x:c r="I59" s="80" t="str">
        <x:v>Scrum adaptado a dos integrantes, 21 historias y backlog priorizado. Se conserva la planificación por sprints y el seguimiento de dependencias. El cumplimiento final de objetivos se contrastará con el incremento entregado y las evidencias de validación.</x:v>
      </x:c>
      <x:c r="J59" s="80" t="str">
        <x:v>Scrum adaptado a dos integrantes, 21 historias y backlog priorizado. Se conserva la planificación por sprints y el seguimiento de dependencias. El cumplimiento final de objetivos se contrastará con el incremento entregado y las evidencias de validación.</x:v>
      </x:c>
      <x:c r="K59" s="80" t="str">
        <x:v>Scrum adaptado a dos integrantes, 21 historias y backlog priorizado. Se conserva la planificación por sprints y el seguimiento de dependencias. El cumplimiento final de objetivos se contrastará con el incremento entregado y las evidencias de validación.</x:v>
      </x:c>
    </x:row>
    <x:row r="60" ht="64" customHeight="1">
      <x:c r="B60" s="81" t="str">
        <x:v>Grupal 2 Evidencias del proyecto</x:v>
      </x:c>
      <x:c r="C60" s="80" t="str">
        <x:v>Hay documentación académica y complementaria, prototipo y código React con Vite e integración a Supabase. La exportación básica existe. Esquema aplicado, evidencias operativas, validación y funciones financieras integrales siguen por completar; no se declara cerrado el proyecto.</x:v>
      </x:c>
      <x:c r="D60" s="80" t="str">
        <x:v>Hay documentación académica y complementaria, prototipo y código React con Vite e integración a Supabase. La exportación básica existe. Esquema aplicado, evidencias operativas, validación y funciones financieras integrales siguen por completar; no se declara cerrado el proyecto.</x:v>
      </x:c>
      <x:c r="E60" s="80" t="str">
        <x:v>Hay documentación académica y complementaria, prototipo y código React con Vite e integración a Supabase. La exportación básica existe. Esquema aplicado, evidencias operativas, validación y funciones financieras integrales siguen por completar; no se declara cerrado el proyecto.</x:v>
      </x:c>
      <x:c r="F60" s="80" t="str">
        <x:v>Hay documentación académica y complementaria, prototipo y código React con Vite e integración a Supabase. La exportación básica existe. Esquema aplicado, evidencias operativas, validación y funciones financieras integrales siguen por completar; no se declara cerrado el proyecto.</x:v>
      </x:c>
      <x:c r="G60" s="80" t="str">
        <x:v>Hay documentación académica y complementaria, prototipo y código React con Vite e integración a Supabase. La exportación básica existe. Esquema aplicado, evidencias operativas, validación y funciones financieras integrales siguen por completar; no se declara cerrado el proyecto.</x:v>
      </x:c>
      <x:c r="H60" s="80" t="str">
        <x:v>Hay documentación académica y complementaria, prototipo y código React con Vite e integración a Supabase. La exportación básica existe. Esquema aplicado, evidencias operativas, validación y funciones financieras integrales siguen por completar; no se declara cerrado el proyecto.</x:v>
      </x:c>
      <x:c r="I60" s="80" t="str">
        <x:v>Hay documentación académica y complementaria, prototipo y código React con Vite e integración a Supabase. La exportación básica existe. Esquema aplicado, evidencias operativas, validación y funciones financieras integrales siguen por completar; no se declara cerrado el proyecto.</x:v>
      </x:c>
      <x:c r="J60" s="80" t="str">
        <x:v>Hay documentación académica y complementaria, prototipo y código React con Vite e integración a Supabase. La exportación básica existe. Esquema aplicado, evidencias operativas, validación y funciones financieras integrales siguen por completar; no se declara cerrado el proyecto.</x:v>
      </x:c>
      <x:c r="K60" s="80" t="str">
        <x:v>Hay documentación académica y complementaria, prototipo y código React con Vite e integración a Supabase. La exportación básica existe. Esquema aplicado, evidencias operativas, validación y funciones financieras integrales siguen por completar; no se declara cerrado el proyecto.</x:v>
      </x:c>
    </x:row>
    <x:row r="61" ht="64" customHeight="1">
      <x:c r="B61" s="81" t="str">
        <x:v>Grupal 4 Competencias del perfil</x:v>
      </x:c>
      <x:c r="C61" s="80" t="str">
        <x:v>El proyecto relaciona gestión de proyectos informáticos con análisis de requerimientos, diseño de datos, desarrollo e integración. La planificación, trazabilidad de historias, riesgos y revisión de reglas de negocio respaldan esta relación. Las pruebas se ejecutarán en su etapa.</x:v>
      </x:c>
      <x:c r="D61" s="80" t="str">
        <x:v>El proyecto relaciona gestión de proyectos informáticos con análisis de requerimientos, diseño de datos, desarrollo e integración. La planificación, trazabilidad de historias, riesgos y revisión de reglas de negocio respaldan esta relación. Las pruebas se ejecutarán en su etapa.</x:v>
      </x:c>
      <x:c r="E61" s="80" t="str">
        <x:v>El proyecto relaciona gestión de proyectos informáticos con análisis de requerimientos, diseño de datos, desarrollo e integración. La planificación, trazabilidad de historias, riesgos y revisión de reglas de negocio respaldan esta relación. Las pruebas se ejecutarán en su etapa.</x:v>
      </x:c>
      <x:c r="F61" s="80" t="str">
        <x:v>El proyecto relaciona gestión de proyectos informáticos con análisis de requerimientos, diseño de datos, desarrollo e integración. La planificación, trazabilidad de historias, riesgos y revisión de reglas de negocio respaldan esta relación. Las pruebas se ejecutarán en su etapa.</x:v>
      </x:c>
      <x:c r="G61" s="80" t="str">
        <x:v>El proyecto relaciona gestión de proyectos informáticos con análisis de requerimientos, diseño de datos, desarrollo e integración. La planificación, trazabilidad de historias, riesgos y revisión de reglas de negocio respaldan esta relación. Las pruebas se ejecutarán en su etapa.</x:v>
      </x:c>
      <x:c r="H61" s="80" t="str">
        <x:v>El proyecto relaciona gestión de proyectos informáticos con análisis de requerimientos, diseño de datos, desarrollo e integración. La planificación, trazabilidad de historias, riesgos y revisión de reglas de negocio respaldan esta relación. Las pruebas se ejecutarán en su etapa.</x:v>
      </x:c>
      <x:c r="I61" s="80" t="str">
        <x:v>El proyecto relaciona gestión de proyectos informáticos con análisis de requerimientos, diseño de datos, desarrollo e integración. La planificación, trazabilidad de historias, riesgos y revisión de reglas de negocio respaldan esta relación. Las pruebas se ejecutarán en su etapa.</x:v>
      </x:c>
      <x:c r="J61" s="80" t="str">
        <x:v>El proyecto relaciona gestión de proyectos informáticos con análisis de requerimientos, diseño de datos, desarrollo e integración. La planificación, trazabilidad de historias, riesgos y revisión de reglas de negocio respaldan esta relación. Las pruebas se ejecutarán en su etapa.</x:v>
      </x:c>
      <x:c r="K61" s="80" t="str">
        <x:v>El proyecto relaciona gestión de proyectos informáticos con análisis de requerimientos, diseño de datos, desarrollo e integración. La planificación, trazabilidad de historias, riesgos y revisión de reglas de negocio respaldan esta relación. Las pruebas se ejecutarán en su etapa.</x:v>
      </x:c>
    </x:row>
    <x:row r="62" ht="64" customHeight="1">
      <x:c r="B62" s="81" t="str">
        <x:v>Grupal 5 Lenguaje técnico</x:v>
      </x:c>
      <x:c r="C62" s="80" t="str">
        <x:v>Los entregables diferencian código disponible, integración y validación. Utilizan conceptos de autenticación, consultas, bitácora, modelo relacional y control de versiones. Se distingue la exportación básica de la nómina integral y la simulación visual del cierre persistente.</x:v>
      </x:c>
      <x:c r="D62" s="80" t="str">
        <x:v>Los entregables diferencian código disponible, integración y validación. Utilizan conceptos de autenticación, consultas, bitácora, modelo relacional y control de versiones. Se distingue la exportación básica de la nómina integral y la simulación visual del cierre persistente.</x:v>
      </x:c>
      <x:c r="E62" s="80" t="str">
        <x:v>Los entregables diferencian código disponible, integración y validación. Utilizan conceptos de autenticación, consultas, bitácora, modelo relacional y control de versiones. Se distingue la exportación básica de la nómina integral y la simulación visual del cierre persistente.</x:v>
      </x:c>
      <x:c r="F62" s="80" t="str">
        <x:v>Los entregables diferencian código disponible, integración y validación. Utilizan conceptos de autenticación, consultas, bitácora, modelo relacional y control de versiones. Se distingue la exportación básica de la nómina integral y la simulación visual del cierre persistente.</x:v>
      </x:c>
      <x:c r="G62" s="80" t="str">
        <x:v>Los entregables diferencian código disponible, integración y validación. Utilizan conceptos de autenticación, consultas, bitácora, modelo relacional y control de versiones. Se distingue la exportación básica de la nómina integral y la simulación visual del cierre persistente.</x:v>
      </x:c>
      <x:c r="H62" s="80" t="str">
        <x:v>Los entregables diferencian código disponible, integración y validación. Utilizan conceptos de autenticación, consultas, bitácora, modelo relacional y control de versiones. Se distingue la exportación básica de la nómina integral y la simulación visual del cierre persistente.</x:v>
      </x:c>
      <x:c r="I62" s="80" t="str">
        <x:v>Los entregables diferencian código disponible, integración y validación. Utilizan conceptos de autenticación, consultas, bitácora, modelo relacional y control de versiones. Se distingue la exportación básica de la nómina integral y la simulación visual del cierre persistente.</x:v>
      </x:c>
      <x:c r="J62" s="80" t="str">
        <x:v>Los entregables diferencian código disponible, integración y validación. Utilizan conceptos de autenticación, consultas, bitácora, modelo relacional y control de versiones. Se distingue la exportación básica de la nómina integral y la simulación visual del cierre persistente.</x:v>
      </x:c>
      <x:c r="K62" s="80" t="str">
        <x:v>Los entregables diferencian código disponible, integración y validación. Utilizan conceptos de autenticación, consultas, bitácora, modelo relacional y control de versiones. Se distingue la exportación básica de la nómina integral y la simulación visual del cierre persistente.</x:v>
      </x:c>
    </x:row>
    <x:row r="63" ht="64" customHeight="1">
      <x:c r="B63" s="81" t="str">
        <x:v>Grupal 6 Redacción y referencias</x:v>
      </x:c>
      <x:c r="C63" s="80" t="str">
        <x:v>Las guías, manuales, flujo y matriz se mantienen en español, con fechas y referencias al proyecto. La revisión final debe comprobar coherencia terminológica, ortografía y referencias del conjunto efectivamente presentado.</x:v>
      </x:c>
      <x:c r="D63" s="80" t="str">
        <x:v>Las guías, manuales, flujo y matriz se mantienen en español, con fechas y referencias al proyecto. La revisión final debe comprobar coherencia terminológica, ortografía y referencias del conjunto efectivamente presentado.</x:v>
      </x:c>
      <x:c r="E63" s="80" t="str">
        <x:v>Las guías, manuales, flujo y matriz se mantienen en español, con fechas y referencias al proyecto. La revisión final debe comprobar coherencia terminológica, ortografía y referencias del conjunto efectivamente presentado.</x:v>
      </x:c>
      <x:c r="F63" s="80" t="str">
        <x:v>Las guías, manuales, flujo y matriz se mantienen en español, con fechas y referencias al proyecto. La revisión final debe comprobar coherencia terminológica, ortografía y referencias del conjunto efectivamente presentado.</x:v>
      </x:c>
      <x:c r="G63" s="80" t="str">
        <x:v>Las guías, manuales, flujo y matriz se mantienen en español, con fechas y referencias al proyecto. La revisión final debe comprobar coherencia terminológica, ortografía y referencias del conjunto efectivamente presentado.</x:v>
      </x:c>
      <x:c r="H63" s="80" t="str">
        <x:v>Las guías, manuales, flujo y matriz se mantienen en español, con fechas y referencias al proyecto. La revisión final debe comprobar coherencia terminológica, ortografía y referencias del conjunto efectivamente presentado.</x:v>
      </x:c>
      <x:c r="I63" s="80" t="str">
        <x:v>Las guías, manuales, flujo y matriz se mantienen en español, con fechas y referencias al proyecto. La revisión final debe comprobar coherencia terminológica, ortografía y referencias del conjunto efectivamente presentado.</x:v>
      </x:c>
      <x:c r="J63" s="80" t="str">
        <x:v>Las guías, manuales, flujo y matriz se mantienen en español, con fechas y referencias al proyecto. La revisión final debe comprobar coherencia terminológica, ortografía y referencias del conjunto efectivamente presentado.</x:v>
      </x:c>
      <x:c r="K63" s="80" t="str">
        <x:v>Las guías, manuales, flujo y matriz se mantienen en español, con fechas y referencias al proyecto. La revisión final debe comprobar coherencia terminológica, ortografía y referencias del conjunto efectivamente presentado.</x:v>
      </x:c>
    </x:row>
    <x:row r="64" ht="64" customHeight="1">
      <x:c r="B64" s="81" t="str">
        <x:v>Grupal 7 Documentación en Git</x:v>
      </x:c>
      <x:c r="C64" s="80" t="str">
        <x:v>Se prepararon diarios 2.1 de ambas integrantes, guías 2.4 y 2.6, backlog, historias, flujo 1.3, simulador y manuales. Debe comprobarse su incorporación al repositorio con los nombres institucionales y la versión final correspondiente.</x:v>
      </x:c>
      <x:c r="D64" s="80" t="str">
        <x:v>Se prepararon diarios 2.1 de ambas integrantes, guías 2.4 y 2.6, backlog, historias, flujo 1.3, simulador y manuales. Debe comprobarse su incorporación al repositorio con los nombres institucionales y la versión final correspondiente.</x:v>
      </x:c>
      <x:c r="E64" s="80" t="str">
        <x:v>Se prepararon diarios 2.1 de ambas integrantes, guías 2.4 y 2.6, backlog, historias, flujo 1.3, simulador y manuales. Debe comprobarse su incorporación al repositorio con los nombres institucionales y la versión final correspondiente.</x:v>
      </x:c>
      <x:c r="F64" s="80" t="str">
        <x:v>Se prepararon diarios 2.1 de ambas integrantes, guías 2.4 y 2.6, backlog, historias, flujo 1.3, simulador y manuales. Debe comprobarse su incorporación al repositorio con los nombres institucionales y la versión final correspondiente.</x:v>
      </x:c>
      <x:c r="G64" s="80" t="str">
        <x:v>Se prepararon diarios 2.1 de ambas integrantes, guías 2.4 y 2.6, backlog, historias, flujo 1.3, simulador y manuales. Debe comprobarse su incorporación al repositorio con los nombres institucionales y la versión final correspondiente.</x:v>
      </x:c>
      <x:c r="H64" s="80" t="str">
        <x:v>Se prepararon diarios 2.1 de ambas integrantes, guías 2.4 y 2.6, backlog, historias, flujo 1.3, simulador y manuales. Debe comprobarse su incorporación al repositorio con los nombres institucionales y la versión final correspondiente.</x:v>
      </x:c>
      <x:c r="I64" s="80" t="str">
        <x:v>Se prepararon diarios 2.1 de ambas integrantes, guías 2.4 y 2.6, backlog, historias, flujo 1.3, simulador y manuales. Debe comprobarse su incorporación al repositorio con los nombres institucionales y la versión final correspondiente.</x:v>
      </x:c>
      <x:c r="J64" s="80" t="str">
        <x:v>Se prepararon diarios 2.1 de ambas integrantes, guías 2.4 y 2.6, backlog, historias, flujo 1.3, simulador y manuales. Debe comprobarse su incorporación al repositorio con los nombres institucionales y la versión final correspondiente.</x:v>
      </x:c>
      <x:c r="K64" s="80" t="str">
        <x:v>Se prepararon diarios 2.1 de ambas integrantes, guías 2.4 y 2.6, backlog, historias, flujo 1.3, simulador y manuales. Debe comprobarse su incorporación al repositorio con los nombres institucionales y la versión final correspondiente.</x:v>
      </x:c>
    </x:row>
    <x:row r="65" ht="64" customHeight="1">
      <x:c r="B65" s="81" t="str">
        <x:v>Grupal 9 Aportes de ambas integrantes</x:v>
      </x:c>
      <x:c r="C65" s="80" t="str">
        <x:v>La planificación distribuye análisis y calidad en Catalina, y seguimiento operativo e integración en Danitza, con documentación y revisión compartidas. Conservar tareas, revisiones y cambios atribuibles a ambas; la referencia local main 78d0dd8 no basta por sí sola para valorar la equidad.</x:v>
      </x:c>
      <x:c r="D65" s="80" t="str">
        <x:v>La planificación distribuye análisis y calidad en Catalina, y seguimiento operativo e integración en Danitza, con documentación y revisión compartidas. Conservar tareas, revisiones y cambios atribuibles a ambas; la referencia local main 78d0dd8 no basta por sí sola para valorar la equidad.</x:v>
      </x:c>
      <x:c r="E65" s="80" t="str">
        <x:v>La planificación distribuye análisis y calidad en Catalina, y seguimiento operativo e integración en Danitza, con documentación y revisión compartidas. Conservar tareas, revisiones y cambios atribuibles a ambas; la referencia local main 78d0dd8 no basta por sí sola para valorar la equidad.</x:v>
      </x:c>
      <x:c r="F65" s="80" t="str">
        <x:v>La planificación distribuye análisis y calidad en Catalina, y seguimiento operativo e integración en Danitza, con documentación y revisión compartidas. Conservar tareas, revisiones y cambios atribuibles a ambas; la referencia local main 78d0dd8 no basta por sí sola para valorar la equidad.</x:v>
      </x:c>
      <x:c r="G65" s="80" t="str">
        <x:v>La planificación distribuye análisis y calidad en Catalina, y seguimiento operativo e integración en Danitza, con documentación y revisión compartidas. Conservar tareas, revisiones y cambios atribuibles a ambas; la referencia local main 78d0dd8 no basta por sí sola para valorar la equidad.</x:v>
      </x:c>
      <x:c r="H65" s="80" t="str">
        <x:v>La planificación distribuye análisis y calidad en Catalina, y seguimiento operativo e integración en Danitza, con documentación y revisión compartidas. Conservar tareas, revisiones y cambios atribuibles a ambas; la referencia local main 78d0dd8 no basta por sí sola para valorar la equidad.</x:v>
      </x:c>
      <x:c r="I65" s="80" t="str">
        <x:v>La planificación distribuye análisis y calidad en Catalina, y seguimiento operativo e integración en Danitza, con documentación y revisión compartidas. Conservar tareas, revisiones y cambios atribuibles a ambas; la referencia local main 78d0dd8 no basta por sí sola para valorar la equidad.</x:v>
      </x:c>
      <x:c r="J65" s="80" t="str">
        <x:v>La planificación distribuye análisis y calidad en Catalina, y seguimiento operativo e integración en Danitza, con documentación y revisión compartidas. Conservar tareas, revisiones y cambios atribuibles a ambas; la referencia local main 78d0dd8 no basta por sí sola para valorar la equidad.</x:v>
      </x:c>
      <x:c r="K65" s="80" t="str">
        <x:v>La planificación distribuye análisis y calidad en Catalina, y seguimiento operativo e integración en Danitza, con documentación y revisión compartidas. Conservar tareas, revisiones y cambios atribuibles a ambas; la referencia local main 78d0dd8 no basta por sí sola para valorar la equidad.</x:v>
      </x:c>
    </x:row>
    <x:row r="66" ht="64" customHeight="1">
      <x:c r="B66" s="81" t="str">
        <x:v>Danitza 3 Intereses profesionales</x:v>
      </x:c>
      <x:c r="C66" s="80" t="str">
        <x:v>La vinculación se centra en dirección y gestión de proyectos informáticos: seguimiento del alcance, organización del trabajo, coordinación de dependencias y documentación del avance. Su participación operativa y en integración permite conectar la planificación con la solución.</x:v>
      </x:c>
      <x:c r="D66" s="80" t="str">
        <x:v>La vinculación se centra en dirección y gestión de proyectos informáticos: seguimiento del alcance, organización del trabajo, coordinación de dependencias y documentación del avance. Su participación operativa y en integración permite conectar la planificación con la solución.</x:v>
      </x:c>
      <x:c r="E66" s="80" t="str">
        <x:v>La vinculación se centra en dirección y gestión de proyectos informáticos: seguimiento del alcance, organización del trabajo, coordinación de dependencias y documentación del avance. Su participación operativa y en integración permite conectar la planificación con la solución.</x:v>
      </x:c>
      <x:c r="F66" s="80" t="str">
        <x:v>La vinculación se centra en dirección y gestión de proyectos informáticos: seguimiento del alcance, organización del trabajo, coordinación de dependencias y documentación del avance. Su participación operativa y en integración permite conectar la planificación con la solución.</x:v>
      </x:c>
      <x:c r="G66" s="80" t="str">
        <x:v>La vinculación se centra en dirección y gestión de proyectos informáticos: seguimiento del alcance, organización del trabajo, coordinación de dependencias y documentación del avance. Su participación operativa y en integración permite conectar la planificación con la solución.</x:v>
      </x:c>
      <x:c r="H66" s="80" t="str">
        <x:v>La vinculación se centra en dirección y gestión de proyectos informáticos: seguimiento del alcance, organización del trabajo, coordinación de dependencias y documentación del avance. Su participación operativa y en integración permite conectar la planificación con la solución.</x:v>
      </x:c>
      <x:c r="I66" s="80" t="str">
        <x:v>La vinculación se centra en dirección y gestión de proyectos informáticos: seguimiento del alcance, organización del trabajo, coordinación de dependencias y documentación del avance. Su participación operativa y en integración permite conectar la planificación con la solución.</x:v>
      </x:c>
      <x:c r="J66" s="80" t="str">
        <x:v>La vinculación se centra en dirección y gestión de proyectos informáticos: seguimiento del alcance, organización del trabajo, coordinación de dependencias y documentación del avance. Su participación operativa y en integración permite conectar la planificación con la solución.</x:v>
      </x:c>
      <x:c r="K66" s="80" t="str">
        <x:v>La vinculación se centra en dirección y gestión de proyectos informáticos: seguimiento del alcance, organización del trabajo, coordinación de dependencias y documentación del avance. Su participación operativa y en integración permite conectar la planificación con la solución.</x:v>
      </x:c>
    </x:row>
    <x:row r="67" ht="64" customHeight="1">
      <x:c r="B67" s="81" t="str">
        <x:v>Danitza 8 Exposición</x:v>
      </x:c>
      <x:c r="C67" s="80" t="str">
        <x:v>Preparar explicación del problema, objetivos, planificación, avance real y flujo operativo. Relacionar los aportes personales con evidencias y distinguir las funciones pendientes. La exposición y las respuestas deben observarse durante la presentación.</x:v>
      </x:c>
      <x:c r="D67" s="80" t="str">
        <x:v>Preparar explicación del problema, objetivos, planificación, avance real y flujo operativo. Relacionar los aportes personales con evidencias y distinguir las funciones pendientes. La exposición y las respuestas deben observarse durante la presentación.</x:v>
      </x:c>
      <x:c r="E67" s="80" t="str">
        <x:v>Preparar explicación del problema, objetivos, planificación, avance real y flujo operativo. Relacionar los aportes personales con evidencias y distinguir las funciones pendientes. La exposición y las respuestas deben observarse durante la presentación.</x:v>
      </x:c>
      <x:c r="F67" s="80" t="str">
        <x:v>Preparar explicación del problema, objetivos, planificación, avance real y flujo operativo. Relacionar los aportes personales con evidencias y distinguir las funciones pendientes. La exposición y las respuestas deben observarse durante la presentación.</x:v>
      </x:c>
      <x:c r="G67" s="80" t="str">
        <x:v>Preparar explicación del problema, objetivos, planificación, avance real y flujo operativo. Relacionar los aportes personales con evidencias y distinguir las funciones pendientes. La exposición y las respuestas deben observarse durante la presentación.</x:v>
      </x:c>
      <x:c r="H67" s="80" t="str">
        <x:v>Preparar explicación del problema, objetivos, planificación, avance real y flujo operativo. Relacionar los aportes personales con evidencias y distinguir las funciones pendientes. La exposición y las respuestas deben observarse durante la presentación.</x:v>
      </x:c>
      <x:c r="I67" s="80" t="str">
        <x:v>Preparar explicación del problema, objetivos, planificación, avance real y flujo operativo. Relacionar los aportes personales con evidencias y distinguir las funciones pendientes. La exposición y las respuestas deben observarse durante la presentación.</x:v>
      </x:c>
      <x:c r="J67" s="80" t="str">
        <x:v>Preparar explicación del problema, objetivos, planificación, avance real y flujo operativo. Relacionar los aportes personales con evidencias y distinguir las funciones pendientes. La exposición y las respuestas deben observarse durante la presentación.</x:v>
      </x:c>
      <x:c r="K67" s="80" t="str">
        <x:v>Preparar explicación del problema, objetivos, planificación, avance real y flujo operativo. Relacionar los aportes personales con evidencias y distinguir las funciones pendientes. La exposición y las respuestas deben observarse durante la presentación.</x:v>
      </x:c>
    </x:row>
    <x:row r="68" ht="64" customHeight="1">
      <x:c r="B68" s="81" t="str">
        <x:v>Danitza 10 Colaboración</x:v>
      </x:c>
      <x:c r="C68" s="80" t="str">
        <x:v>La planificación considera facilitación del seguimiento como Scrum Master, integración y revisión conjunta. Incorporar evidencias de tareas y acuerdos. Participación presencial, colaboración observada y desempeño en la exposición quedan sujetos a evaluación docente.</x:v>
      </x:c>
      <x:c r="D68" s="80" t="str">
        <x:v>La planificación considera facilitación del seguimiento como Scrum Master, integración y revisión conjunta. Incorporar evidencias de tareas y acuerdos. Participación presencial, colaboración observada y desempeño en la exposición quedan sujetos a evaluación docente.</x:v>
      </x:c>
      <x:c r="E68" s="80" t="str">
        <x:v>La planificación considera facilitación del seguimiento como Scrum Master, integración y revisión conjunta. Incorporar evidencias de tareas y acuerdos. Participación presencial, colaboración observada y desempeño en la exposición quedan sujetos a evaluación docente.</x:v>
      </x:c>
      <x:c r="F68" s="80" t="str">
        <x:v>La planificación considera facilitación del seguimiento como Scrum Master, integración y revisión conjunta. Incorporar evidencias de tareas y acuerdos. Participación presencial, colaboración observada y desempeño en la exposición quedan sujetos a evaluación docente.</x:v>
      </x:c>
      <x:c r="G68" s="80" t="str">
        <x:v>La planificación considera facilitación del seguimiento como Scrum Master, integración y revisión conjunta. Incorporar evidencias de tareas y acuerdos. Participación presencial, colaboración observada y desempeño en la exposición quedan sujetos a evaluación docente.</x:v>
      </x:c>
      <x:c r="H68" s="80" t="str">
        <x:v>La planificación considera facilitación del seguimiento como Scrum Master, integración y revisión conjunta. Incorporar evidencias de tareas y acuerdos. Participación presencial, colaboración observada y desempeño en la exposición quedan sujetos a evaluación docente.</x:v>
      </x:c>
      <x:c r="I68" s="80" t="str">
        <x:v>La planificación considera facilitación del seguimiento como Scrum Master, integración y revisión conjunta. Incorporar evidencias de tareas y acuerdos. Participación presencial, colaboración observada y desempeño en la exposición quedan sujetos a evaluación docente.</x:v>
      </x:c>
      <x:c r="J68" s="80" t="str">
        <x:v>La planificación considera facilitación del seguimiento como Scrum Master, integración y revisión conjunta. Incorporar evidencias de tareas y acuerdos. Participación presencial, colaboración observada y desempeño en la exposición quedan sujetos a evaluación docente.</x:v>
      </x:c>
      <x:c r="K68" s="80" t="str">
        <x:v>La planificación considera facilitación del seguimiento como Scrum Master, integración y revisión conjunta. Incorporar evidencias de tareas y acuerdos. Participación presencial, colaboración observada y desempeño en la exposición quedan sujetos a evaluación docente.</x:v>
      </x:c>
    </x:row>
    <x:row r="69" ht="64" customHeight="1">
      <x:c r="B69" s="81" t="str">
        <x:v>Catalina 3 Intereses profesionales</x:v>
      </x:c>
      <x:c r="C69" s="80" t="str">
        <x:v>La vinculación se expresa en análisis funcional, reglas de negocio y calidad: comparación por horas, límites mensuales, consistencia de asistencia y cálculos. Su coordinación de planificación y revisión relaciona la gestión con el desarrollo de la solución.</x:v>
      </x:c>
      <x:c r="D69" s="80" t="str">
        <x:v>La vinculación se expresa en análisis funcional, reglas de negocio y calidad: comparación por horas, límites mensuales, consistencia de asistencia y cálculos. Su coordinación de planificación y revisión relaciona la gestión con el desarrollo de la solución.</x:v>
      </x:c>
      <x:c r="E69" s="80" t="str">
        <x:v>La vinculación se expresa en análisis funcional, reglas de negocio y calidad: comparación por horas, límites mensuales, consistencia de asistencia y cálculos. Su coordinación de planificación y revisión relaciona la gestión con el desarrollo de la solución.</x:v>
      </x:c>
      <x:c r="F69" s="80" t="str">
        <x:v>La vinculación se expresa en análisis funcional, reglas de negocio y calidad: comparación por horas, límites mensuales, consistencia de asistencia y cálculos. Su coordinación de planificación y revisión relaciona la gestión con el desarrollo de la solución.</x:v>
      </x:c>
      <x:c r="G69" s="80" t="str">
        <x:v>La vinculación se expresa en análisis funcional, reglas de negocio y calidad: comparación por horas, límites mensuales, consistencia de asistencia y cálculos. Su coordinación de planificación y revisión relaciona la gestión con el desarrollo de la solución.</x:v>
      </x:c>
      <x:c r="H69" s="80" t="str">
        <x:v>La vinculación se expresa en análisis funcional, reglas de negocio y calidad: comparación por horas, límites mensuales, consistencia de asistencia y cálculos. Su coordinación de planificación y revisión relaciona la gestión con el desarrollo de la solución.</x:v>
      </x:c>
      <x:c r="I69" s="80" t="str">
        <x:v>La vinculación se expresa en análisis funcional, reglas de negocio y calidad: comparación por horas, límites mensuales, consistencia de asistencia y cálculos. Su coordinación de planificación y revisión relaciona la gestión con el desarrollo de la solución.</x:v>
      </x:c>
      <x:c r="J69" s="80" t="str">
        <x:v>La vinculación se expresa en análisis funcional, reglas de negocio y calidad: comparación por horas, límites mensuales, consistencia de asistencia y cálculos. Su coordinación de planificación y revisión relaciona la gestión con el desarrollo de la solución.</x:v>
      </x:c>
      <x:c r="K69" s="80" t="str">
        <x:v>La vinculación se expresa en análisis funcional, reglas de negocio y calidad: comparación por horas, límites mensuales, consistencia de asistencia y cálculos. Su coordinación de planificación y revisión relaciona la gestión con el desarrollo de la solución.</x:v>
      </x:c>
    </x:row>
    <x:row r="70" ht="64" customHeight="1">
      <x:c r="B70" s="81" t="str">
        <x:v>Catalina 8 Exposición</x:v>
      </x:c>
      <x:c r="C70" s="80" t="str">
        <x:v>Preparar explicación de los requerimientos, criterios de asignación, reglas horarias y decisiones de calidad. Vincular los aportes personales con evidencias del incremento. El dominio técnico y las respuestas se valorarán durante la presentación.</x:v>
      </x:c>
      <x:c r="D70" s="80" t="str">
        <x:v>Preparar explicación de los requerimientos, criterios de asignación, reglas horarias y decisiones de calidad. Vincular los aportes personales con evidencias del incremento. El dominio técnico y las respuestas se valorarán durante la presentación.</x:v>
      </x:c>
      <x:c r="E70" s="80" t="str">
        <x:v>Preparar explicación de los requerimientos, criterios de asignación, reglas horarias y decisiones de calidad. Vincular los aportes personales con evidencias del incremento. El dominio técnico y las respuestas se valorarán durante la presentación.</x:v>
      </x:c>
      <x:c r="F70" s="80" t="str">
        <x:v>Preparar explicación de los requerimientos, criterios de asignación, reglas horarias y decisiones de calidad. Vincular los aportes personales con evidencias del incremento. El dominio técnico y las respuestas se valorarán durante la presentación.</x:v>
      </x:c>
      <x:c r="G70" s="80" t="str">
        <x:v>Preparar explicación de los requerimientos, criterios de asignación, reglas horarias y decisiones de calidad. Vincular los aportes personales con evidencias del incremento. El dominio técnico y las respuestas se valorarán durante la presentación.</x:v>
      </x:c>
      <x:c r="H70" s="80" t="str">
        <x:v>Preparar explicación de los requerimientos, criterios de asignación, reglas horarias y decisiones de calidad. Vincular los aportes personales con evidencias del incremento. El dominio técnico y las respuestas se valorarán durante la presentación.</x:v>
      </x:c>
      <x:c r="I70" s="80" t="str">
        <x:v>Preparar explicación de los requerimientos, criterios de asignación, reglas horarias y decisiones de calidad. Vincular los aportes personales con evidencias del incremento. El dominio técnico y las respuestas se valorarán durante la presentación.</x:v>
      </x:c>
      <x:c r="J70" s="80" t="str">
        <x:v>Preparar explicación de los requerimientos, criterios de asignación, reglas horarias y decisiones de calidad. Vincular los aportes personales con evidencias del incremento. El dominio técnico y las respuestas se valorarán durante la presentación.</x:v>
      </x:c>
      <x:c r="K70" s="80" t="str">
        <x:v>Preparar explicación de los requerimientos, criterios de asignación, reglas horarias y decisiones de calidad. Vincular los aportes personales con evidencias del incremento. El dominio técnico y las respuestas se valorarán durante la presentación.</x:v>
      </x:c>
    </x:row>
    <x:row r="71" ht="64" customHeight="1">
      <x:c r="B71" s="81" t="str">
        <x:v>Catalina 10 Colaboración</x:v>
      </x:c>
      <x:c r="C71" s="80" t="str">
        <x:v>La planificación considera coordinación de análisis y calidad, junto con desarrollo y revisión compartidos. Incorporar evidencias de tareas y acuerdos. Participación presencial, colaboración observada y desempeño en la exposición quedan sujetos a evaluación docente.</x:v>
      </x:c>
      <x:c r="D71" s="80" t="str">
        <x:v>La planificación considera coordinación de análisis y calidad, junto con desarrollo y revisión compartidos. Incorporar evidencias de tareas y acuerdos. Participación presencial, colaboración observada y desempeño en la exposición quedan sujetos a evaluación docente.</x:v>
      </x:c>
      <x:c r="E71" s="80" t="str">
        <x:v>La planificación considera coordinación de análisis y calidad, junto con desarrollo y revisión compartidos. Incorporar evidencias de tareas y acuerdos. Participación presencial, colaboración observada y desempeño en la exposición quedan sujetos a evaluación docente.</x:v>
      </x:c>
      <x:c r="F71" s="80" t="str">
        <x:v>La planificación considera coordinación de análisis y calidad, junto con desarrollo y revisión compartidos. Incorporar evidencias de tareas y acuerdos. Participación presencial, colaboración observada y desempeño en la exposición quedan sujetos a evaluación docente.</x:v>
      </x:c>
      <x:c r="G71" s="80" t="str">
        <x:v>La planificación considera coordinación de análisis y calidad, junto con desarrollo y revisión compartidos. Incorporar evidencias de tareas y acuerdos. Participación presencial, colaboración observada y desempeño en la exposición quedan sujetos a evaluación docente.</x:v>
      </x:c>
      <x:c r="H71" s="80" t="str">
        <x:v>La planificación considera coordinación de análisis y calidad, junto con desarrollo y revisión compartidos. Incorporar evidencias de tareas y acuerdos. Participación presencial, colaboración observada y desempeño en la exposición quedan sujetos a evaluación docente.</x:v>
      </x:c>
      <x:c r="I71" s="80" t="str">
        <x:v>La planificación considera coordinación de análisis y calidad, junto con desarrollo y revisión compartidos. Incorporar evidencias de tareas y acuerdos. Participación presencial, colaboración observada y desempeño en la exposición quedan sujetos a evaluación docente.</x:v>
      </x:c>
      <x:c r="J71" s="80" t="str">
        <x:v>La planificación considera coordinación de análisis y calidad, junto con desarrollo y revisión compartidos. Incorporar evidencias de tareas y acuerdos. Participación presencial, colaboración observada y desempeño en la exposición quedan sujetos a evaluación docente.</x:v>
      </x:c>
      <x:c r="K71" s="80" t="str">
        <x:v>La planificación considera coordinación de análisis y calidad, junto con desarrollo y revisión compartidos. Incorporar evidencias de tareas y acuerdos. Participación presencial, colaboración observada y desempeño en la exposición quedan sujetos a evaluación docente.</x:v>
      </x:c>
    </x:row>
    <x:row r="72" ht="15.75" customHeight="1"/>
    <x:row r="73" ht="32" customHeight="1">
      <x:c r="B73" s="74" t="str">
        <x:v>Calendario: QA del 12 al 19 de noviembre y marcha blanca del 20 al 30 de noviembre de 2026. La base de datos se documentará al final. Estas actividades se mantienen programadas.</x:v>
      </x:c>
      <x:c r="C73" s="74" t="str">
        <x:v>Calendario: QA del 12 al 19 de noviembre y marcha blanca del 20 al 30 de noviembre de 2026. La base de datos se documentará al final. Estas actividades se mantienen programadas.</x:v>
      </x:c>
      <x:c r="D73" s="74" t="str">
        <x:v>Calendario: QA del 12 al 19 de noviembre y marcha blanca del 20 al 30 de noviembre de 2026. La base de datos se documentará al final. Estas actividades se mantienen programadas.</x:v>
      </x:c>
      <x:c r="E73" s="74" t="str">
        <x:v>Calendario: QA del 12 al 19 de noviembre y marcha blanca del 20 al 30 de noviembre de 2026. La base de datos se documentará al final. Estas actividades se mantienen programadas.</x:v>
      </x:c>
      <x:c r="F73" s="74" t="str">
        <x:v>Calendario: QA del 12 al 19 de noviembre y marcha blanca del 20 al 30 de noviembre de 2026. La base de datos se documentará al final. Estas actividades se mantienen programadas.</x:v>
      </x:c>
      <x:c r="G73" s="74" t="str">
        <x:v>Calendario: QA del 12 al 19 de noviembre y marcha blanca del 20 al 30 de noviembre de 2026. La base de datos se documentará al final. Estas actividades se mantienen programadas.</x:v>
      </x:c>
      <x:c r="H73" s="74" t="str">
        <x:v>Calendario: QA del 12 al 19 de noviembre y marcha blanca del 20 al 30 de noviembre de 2026. La base de datos se documentará al final. Estas actividades se mantienen programadas.</x:v>
      </x:c>
      <x:c r="I73" s="74" t="str">
        <x:v>Calendario: QA del 12 al 19 de noviembre y marcha blanca del 20 al 30 de noviembre de 2026. La base de datos se documentará al final. Estas actividades se mantienen programadas.</x:v>
      </x:c>
      <x:c r="J73" s="74" t="str">
        <x:v>Calendario: QA del 12 al 19 de noviembre y marcha blanca del 20 al 30 de noviembre de 2026. La base de datos se documentará al final. Estas actividades se mantienen programadas.</x:v>
      </x:c>
      <x:c r="K73" s="74" t="str">
        <x:v>Calendario: QA del 12 al 19 de noviembre y marcha blanca del 20 al 30 de noviembre de 2026. La base de datos se documentará al final. Estas actividades se mantienen programadas.</x:v>
      </x:c>
    </x:row>
    <x:row r="74" ht="28" customHeight="1">
      <x:c r="B74" s="74" t="str">
        <x:v>Referencia: https://github.com/daniariasg/Konor | main 78d0dd8 | Guías 2.4 y 2.6 y documentación actualizada al 23/10/2026.</x:v>
      </x:c>
      <x:c r="C74" s="74" t="str">
        <x:v>Referencia: https://github.com/daniariasg/Konor | main 78d0dd8 | Guías 2.4 y 2.6 y documentación actualizada al 23/10/2026.</x:v>
      </x:c>
      <x:c r="D74" s="74" t="str">
        <x:v>Referencia: https://github.com/daniariasg/Konor | main 78d0dd8 | Guías 2.4 y 2.6 y documentación actualizada al 23/10/2026.</x:v>
      </x:c>
      <x:c r="E74" s="74" t="str">
        <x:v>Referencia: https://github.com/daniariasg/Konor | main 78d0dd8 | Guías 2.4 y 2.6 y documentación actualizada al 23/10/2026.</x:v>
      </x:c>
      <x:c r="F74" s="74" t="str">
        <x:v>Referencia: https://github.com/daniariasg/Konor | main 78d0dd8 | Guías 2.4 y 2.6 y documentación actualizada al 23/10/2026.</x:v>
      </x:c>
      <x:c r="G74" s="74" t="str">
        <x:v>Referencia: https://github.com/daniariasg/Konor | main 78d0dd8 | Guías 2.4 y 2.6 y documentación actualizada al 23/10/2026.</x:v>
      </x:c>
      <x:c r="H74" s="74" t="str">
        <x:v>Referencia: https://github.com/daniariasg/Konor | main 78d0dd8 | Guías 2.4 y 2.6 y documentación actualizada al 23/10/2026.</x:v>
      </x:c>
      <x:c r="I74" s="74" t="str">
        <x:v>Referencia: https://github.com/daniariasg/Konor | main 78d0dd8 | Guías 2.4 y 2.6 y documentación actualizada al 23/10/2026.</x:v>
      </x:c>
      <x:c r="J74" s="74" t="str">
        <x:v>Referencia: https://github.com/daniariasg/Konor | main 78d0dd8 | Guías 2.4 y 2.6 y documentación actualizada al 23/10/2026.</x:v>
      </x:c>
      <x:c r="K74" s="74" t="str">
        <x:v>Referencia: https://github.com/daniariasg/Konor | main 78d0dd8 | Guías 2.4 y 2.6 y documentación actualizada al 23/10/2026.</x:v>
      </x:c>
    </x:row>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1:A21"/>
    <x:mergeCell ref="A24:A32"/>
    <x:mergeCell ref="B24:B25"/>
    <x:mergeCell ref="A36:A44"/>
    <x:mergeCell ref="B36:B37"/>
    <x:mergeCell ref="A47:A55"/>
    <x:mergeCell ref="B47:B48"/>
    <x:mergeCell ref="C11:C12"/>
    <x:mergeCell ref="C26:C27"/>
    <x:mergeCell ref="C38:C39"/>
    <x:mergeCell ref="C49:C50"/>
    <x:mergeCell ref="E2:E3"/>
    <x:mergeCell ref="D11:K11"/>
    <x:mergeCell ref="D12:E12"/>
    <x:mergeCell ref="F12:G12"/>
    <x:mergeCell ref="H12:I12"/>
    <x:mergeCell ref="J12:K12"/>
    <x:mergeCell ref="C24:K25"/>
    <x:mergeCell ref="D26:K26"/>
    <x:mergeCell ref="D27:E27"/>
    <x:mergeCell ref="F27:G27"/>
    <x:mergeCell ref="H27:I27"/>
    <x:mergeCell ref="J27:K27"/>
    <x:mergeCell ref="C36:K37"/>
    <x:mergeCell ref="D38:K38"/>
    <x:mergeCell ref="F50:G50"/>
    <x:mergeCell ref="H50:I50"/>
    <x:mergeCell ref="D39:E39"/>
    <x:mergeCell ref="F39:G39"/>
    <x:mergeCell ref="H39:I39"/>
    <x:mergeCell ref="J39:K39"/>
    <x:mergeCell ref="C47:K48"/>
    <x:mergeCell ref="D49:K49"/>
    <x:mergeCell ref="D50:E50"/>
    <x:mergeCell ref="J50:K50"/>
    <x:mergeCell ref="B7:K7"/>
    <x:mergeCell ref="B8:K8"/>
    <x:mergeCell ref="B9:K9"/>
    <x:mergeCell ref="B58:K58"/>
    <x:mergeCell ref="C59:K59"/>
    <x:mergeCell ref="C60:K60"/>
    <x:mergeCell ref="C61:K61"/>
    <x:mergeCell ref="C62:K62"/>
    <x:mergeCell ref="C63:K63"/>
    <x:mergeCell ref="C64:K64"/>
    <x:mergeCell ref="C65:K65"/>
    <x:mergeCell ref="C66:K66"/>
    <x:mergeCell ref="C67:K67"/>
    <x:mergeCell ref="C68:K68"/>
    <x:mergeCell ref="C69:K69"/>
    <x:mergeCell ref="C70:K70"/>
    <x:mergeCell ref="C71:K71"/>
    <x:mergeCell ref="B73:K73"/>
    <x:mergeCell ref="B74:K74"/>
  </x:mergeCells>
  <x:conditionalFormatting sqref="C4:E6">
    <x:cfRule type="cellIs" dxfId="0" priority="1" operator="lessThan">
      <x:formula>4</x:formula>
    </x:cfRule>
  </x:conditionalFormatting>
  <x:conditionalFormatting sqref="C4:E6">
    <x:cfRule type="cellIs" dxfId="0" priority="2" operator="lessThan">
      <x:formula>1</x:formula>
    </x:cfRule>
  </x:conditionalFormatting>
  <x:dataValidations count="2">
    <x:dataValidation type="list" allowBlank="1" showErrorMessage="1" sqref="C13:C19 C28:C30 C40:C42 C51:C53">
      <x:formula1>'RELEVANCIA-PUNTAJE'!$B$2:$E$2</x:formula1>
    </x:dataValidation>
    <x:dataValidation type="decimal" allowBlank="1" showInputMessage="1" showErrorMessage="1" prompt="Error de Ingreso - Nota debe estar entre 1,0 y 7,0" sqref="C4:E6">
      <x:formula1>1.0</x:formula1>
      <x:formula2>7.0</x:formula2>
    </x:dataValidation>
  </x:dataValidations>
  <x:pageMargins left="0.7" right="0.7" top="0.75" bottom="0.75" header="0.3" footer="0.3"/>
</x:worksheet>
</file>

<file path=xl/worksheets/sheet3.xml><?xml version="1.0" encoding="utf-8"?>
<x:worksheet xmlns:x="http://schemas.openxmlformats.org/spreadsheetml/2006/main">
  <x:sheetFormatPr defaultColWidth="14.430000305175781" defaultRowHeight="15"/>
  <x:cols>
    <x:col min="1" max="6" width="10.710000038146973" customWidth="1"/>
  </x:cols>
  <x:sheetData>
    <x:row r="1">
      <x:c r="A1" s="1" t="s">
        <x:v>66</x:v>
      </x:c>
      <x:c r="B1" s="1" t="s">
        <x:v>67</x:v>
      </x:c>
    </x:row>
    <x:row r="2">
      <x:c r="A2" s="1">
        <x:v>0.0</x:v>
      </x:c>
      <x:c r="B2" s="1">
        <x:v>1.0</x:v>
      </x:c>
    </x:row>
    <x:row r="3">
      <x:c r="A3" s="1">
        <x:v>0.5</x:v>
      </x:c>
      <x:c r="B3" s="1">
        <x:v>1.0</x:v>
      </x:c>
    </x:row>
    <x:row r="4">
      <x:c r="A4" s="1">
        <x:v>1.0</x:v>
      </x:c>
      <x:c r="B4" s="1">
        <x:v>1.1</x:v>
      </x:c>
    </x:row>
    <x:row r="5">
      <x:c r="A5" s="1">
        <x:v>1.5</x:v>
      </x:c>
      <x:c r="B5" s="1">
        <x:v>1.1</x:v>
      </x:c>
    </x:row>
    <x:row r="6">
      <x:c r="A6" s="1">
        <x:v>2.0</x:v>
      </x:c>
      <x:c r="B6" s="1">
        <x:v>1.1</x:v>
      </x:c>
    </x:row>
    <x:row r="7">
      <x:c r="A7" s="1">
        <x:v>2.5</x:v>
      </x:c>
      <x:c r="B7" s="1">
        <x:v>1.2</x:v>
      </x:c>
    </x:row>
    <x:row r="8">
      <x:c r="A8" s="1">
        <x:v>3.0</x:v>
      </x:c>
      <x:c r="B8" s="1">
        <x:v>1.2</x:v>
      </x:c>
    </x:row>
    <x:row r="9">
      <x:c r="A9" s="1">
        <x:v>3.5</x:v>
      </x:c>
      <x:c r="B9" s="1">
        <x:v>1.2</x:v>
      </x:c>
    </x:row>
    <x:row r="10">
      <x:c r="A10" s="1">
        <x:v>4.0</x:v>
      </x:c>
      <x:c r="B10" s="1">
        <x:v>1.3</x:v>
      </x:c>
    </x:row>
    <x:row r="11">
      <x:c r="A11" s="1">
        <x:v>4.5</x:v>
      </x:c>
      <x:c r="B11" s="1">
        <x:v>1.3</x:v>
      </x:c>
    </x:row>
    <x:row r="12">
      <x:c r="A12" s="1">
        <x:v>5.0</x:v>
      </x:c>
      <x:c r="B12" s="1">
        <x:v>1.3</x:v>
      </x:c>
    </x:row>
    <x:row r="13">
      <x:c r="A13" s="1">
        <x:v>5.5</x:v>
      </x:c>
      <x:c r="B13" s="1">
        <x:v>1.4</x:v>
      </x:c>
    </x:row>
    <x:row r="14">
      <x:c r="A14" s="1">
        <x:v>6.0</x:v>
      </x:c>
      <x:c r="B14" s="1">
        <x:v>1.4</x:v>
      </x:c>
    </x:row>
    <x:row r="15">
      <x:c r="A15" s="1">
        <x:v>6.5</x:v>
      </x:c>
      <x:c r="B15" s="1">
        <x:v>1.4</x:v>
      </x:c>
    </x:row>
    <x:row r="16">
      <x:c r="A16" s="1">
        <x:v>7.0</x:v>
      </x:c>
      <x:c r="B16" s="1">
        <x:v>1.5</x:v>
      </x:c>
    </x:row>
    <x:row r="17">
      <x:c r="A17" s="1">
        <x:v>7.5</x:v>
      </x:c>
      <x:c r="B17" s="1">
        <x:v>1.5</x:v>
      </x:c>
    </x:row>
    <x:row r="18">
      <x:c r="A18" s="1">
        <x:v>8.0</x:v>
      </x:c>
      <x:c r="B18" s="1">
        <x:v>1.5</x:v>
      </x:c>
    </x:row>
    <x:row r="19">
      <x:c r="A19" s="1">
        <x:v>8.5</x:v>
      </x:c>
      <x:c r="B19" s="1">
        <x:v>1.6</x:v>
      </x:c>
    </x:row>
    <x:row r="20">
      <x:c r="A20" s="1">
        <x:v>9.0</x:v>
      </x:c>
      <x:c r="B20" s="1">
        <x:v>1.6</x:v>
      </x:c>
    </x:row>
    <x:row r="21" ht="15.75" customHeight="1">
      <x:c r="A21" s="1">
        <x:v>9.5</x:v>
      </x:c>
      <x:c r="B21" s="1">
        <x:v>1.6</x:v>
      </x:c>
    </x:row>
    <x:row r="22" ht="15.75" customHeight="1">
      <x:c r="A22" s="1">
        <x:v>10.0</x:v>
      </x:c>
      <x:c r="B22" s="1">
        <x:v>1.7</x:v>
      </x:c>
    </x:row>
    <x:row r="23" ht="15.75" customHeight="1">
      <x:c r="A23" s="1">
        <x:v>10.5</x:v>
      </x:c>
      <x:c r="B23" s="1">
        <x:v>1.7</x:v>
      </x:c>
    </x:row>
    <x:row r="24" ht="15.75" customHeight="1">
      <x:c r="A24" s="1">
        <x:v>11.0</x:v>
      </x:c>
      <x:c r="B24" s="1">
        <x:v>1.7</x:v>
      </x:c>
    </x:row>
    <x:row r="25" ht="15.75" customHeight="1">
      <x:c r="A25" s="1">
        <x:v>11.5</x:v>
      </x:c>
      <x:c r="B25" s="1">
        <x:v>1.8</x:v>
      </x:c>
    </x:row>
    <x:row r="26" ht="15.75" customHeight="1">
      <x:c r="A26" s="1">
        <x:v>12.0</x:v>
      </x:c>
      <x:c r="B26" s="1">
        <x:v>1.8</x:v>
      </x:c>
    </x:row>
    <x:row r="27" ht="15.75" customHeight="1">
      <x:c r="A27" s="1">
        <x:v>12.5</x:v>
      </x:c>
      <x:c r="B27" s="1">
        <x:v>1.8</x:v>
      </x:c>
    </x:row>
    <x:row r="28" ht="15.75" customHeight="1">
      <x:c r="A28" s="1">
        <x:v>13.0</x:v>
      </x:c>
      <x:c r="B28" s="1">
        <x:v>1.9</x:v>
      </x:c>
    </x:row>
    <x:row r="29" ht="15.75" customHeight="1">
      <x:c r="A29" s="1">
        <x:v>13.5</x:v>
      </x:c>
      <x:c r="B29" s="1">
        <x:v>1.9</x:v>
      </x:c>
    </x:row>
    <x:row r="30" ht="15.75" customHeight="1">
      <x:c r="A30" s="1">
        <x:v>14.0</x:v>
      </x:c>
      <x:c r="B30" s="1">
        <x:v>1.9</x:v>
      </x:c>
    </x:row>
    <x:row r="31" ht="15.75" customHeight="1">
      <x:c r="A31" s="1">
        <x:v>14.5</x:v>
      </x:c>
      <x:c r="B31" s="1">
        <x:v>2.0</x:v>
      </x:c>
    </x:row>
    <x:row r="32" ht="15.75" customHeight="1">
      <x:c r="A32" s="1">
        <x:v>15.0</x:v>
      </x:c>
      <x:c r="B32" s="1">
        <x:v>2.0</x:v>
      </x:c>
    </x:row>
    <x:row r="33" ht="15.75" customHeight="1">
      <x:c r="A33" s="1">
        <x:v>15.5</x:v>
      </x:c>
      <x:c r="B33" s="1">
        <x:v>2.0</x:v>
      </x:c>
    </x:row>
    <x:row r="34" ht="15.75" customHeight="1">
      <x:c r="A34" s="1">
        <x:v>16.0</x:v>
      </x:c>
      <x:c r="B34" s="1">
        <x:v>2.1</x:v>
      </x:c>
    </x:row>
    <x:row r="35" ht="15.75" customHeight="1">
      <x:c r="A35" s="1">
        <x:v>16.5</x:v>
      </x:c>
      <x:c r="B35" s="1">
        <x:v>2.1</x:v>
      </x:c>
    </x:row>
    <x:row r="36" ht="15.75" customHeight="1">
      <x:c r="A36" s="1">
        <x:v>17.0</x:v>
      </x:c>
      <x:c r="B36" s="1">
        <x:v>2.1</x:v>
      </x:c>
    </x:row>
    <x:row r="37" ht="15.75" customHeight="1">
      <x:c r="A37" s="1">
        <x:v>17.5</x:v>
      </x:c>
      <x:c r="B37" s="1">
        <x:v>2.2</x:v>
      </x:c>
    </x:row>
    <x:row r="38" ht="15.75" customHeight="1">
      <x:c r="A38" s="1">
        <x:v>18.0</x:v>
      </x:c>
      <x:c r="B38" s="1">
        <x:v>2.2</x:v>
      </x:c>
    </x:row>
    <x:row r="39" ht="15.75" customHeight="1">
      <x:c r="A39" s="1">
        <x:v>18.5</x:v>
      </x:c>
      <x:c r="B39" s="1">
        <x:v>2.2</x:v>
      </x:c>
    </x:row>
    <x:row r="40" ht="15.75" customHeight="1">
      <x:c r="A40" s="1">
        <x:v>19.0</x:v>
      </x:c>
      <x:c r="B40" s="1">
        <x:v>2.3</x:v>
      </x:c>
    </x:row>
    <x:row r="41" ht="15.75" customHeight="1">
      <x:c r="A41" s="1">
        <x:v>19.5</x:v>
      </x:c>
      <x:c r="B41" s="1">
        <x:v>2.3</x:v>
      </x:c>
    </x:row>
    <x:row r="42" ht="15.75" customHeight="1">
      <x:c r="A42" s="1">
        <x:v>20.0</x:v>
      </x:c>
      <x:c r="B42" s="1">
        <x:v>2.3</x:v>
      </x:c>
    </x:row>
    <x:row r="43" ht="15.75" customHeight="1">
      <x:c r="A43" s="1">
        <x:v>20.5</x:v>
      </x:c>
      <x:c r="B43" s="1">
        <x:v>2.4</x:v>
      </x:c>
    </x:row>
    <x:row r="44" ht="15.75" customHeight="1">
      <x:c r="A44" s="1">
        <x:v>21.0</x:v>
      </x:c>
      <x:c r="B44" s="1">
        <x:v>2.4</x:v>
      </x:c>
    </x:row>
    <x:row r="45" ht="15.75" customHeight="1">
      <x:c r="A45" s="1">
        <x:v>21.5</x:v>
      </x:c>
      <x:c r="B45" s="1">
        <x:v>2.4</x:v>
      </x:c>
    </x:row>
    <x:row r="46" ht="15.75" customHeight="1">
      <x:c r="A46" s="1">
        <x:v>22.0</x:v>
      </x:c>
      <x:c r="B46" s="1">
        <x:v>2.5</x:v>
      </x:c>
    </x:row>
    <x:row r="47" ht="15.75" customHeight="1">
      <x:c r="A47" s="1">
        <x:v>22.5</x:v>
      </x:c>
      <x:c r="B47" s="1">
        <x:v>2.5</x:v>
      </x:c>
    </x:row>
    <x:row r="48" ht="15.75" customHeight="1">
      <x:c r="A48" s="1">
        <x:v>23.0</x:v>
      </x:c>
      <x:c r="B48" s="1">
        <x:v>2.5</x:v>
      </x:c>
    </x:row>
    <x:row r="49" ht="15.75" customHeight="1">
      <x:c r="A49" s="1">
        <x:v>23.5</x:v>
      </x:c>
      <x:c r="B49" s="1">
        <x:v>2.6</x:v>
      </x:c>
    </x:row>
    <x:row r="50" ht="15.75" customHeight="1">
      <x:c r="A50" s="1">
        <x:v>24.0</x:v>
      </x:c>
      <x:c r="B50" s="1">
        <x:v>2.6</x:v>
      </x:c>
    </x:row>
    <x:row r="51" ht="15.75" customHeight="1">
      <x:c r="A51" s="1">
        <x:v>24.5</x:v>
      </x:c>
      <x:c r="B51" s="1">
        <x:v>2.6</x:v>
      </x:c>
    </x:row>
    <x:row r="52" ht="15.75" customHeight="1">
      <x:c r="A52" s="1">
        <x:v>25.0</x:v>
      </x:c>
      <x:c r="B52" s="1">
        <x:v>2.7</x:v>
      </x:c>
    </x:row>
    <x:row r="53" ht="15.75" customHeight="1">
      <x:c r="A53" s="1">
        <x:v>25.5</x:v>
      </x:c>
      <x:c r="B53" s="1">
        <x:v>2.7</x:v>
      </x:c>
    </x:row>
    <x:row r="54" ht="15.75" customHeight="1">
      <x:c r="A54" s="1">
        <x:v>26.0</x:v>
      </x:c>
      <x:c r="B54" s="1">
        <x:v>2.7</x:v>
      </x:c>
    </x:row>
    <x:row r="55" ht="15.75" customHeight="1">
      <x:c r="A55" s="1">
        <x:v>26.5</x:v>
      </x:c>
      <x:c r="B55" s="1">
        <x:v>2.8</x:v>
      </x:c>
    </x:row>
    <x:row r="56" ht="15.75" customHeight="1">
      <x:c r="A56" s="1">
        <x:v>27.0</x:v>
      </x:c>
      <x:c r="B56" s="1">
        <x:v>2.8</x:v>
      </x:c>
    </x:row>
    <x:row r="57" ht="15.75" customHeight="1">
      <x:c r="A57" s="1">
        <x:v>27.5</x:v>
      </x:c>
      <x:c r="B57" s="1">
        <x:v>2.8</x:v>
      </x:c>
    </x:row>
    <x:row r="58" ht="15.75" customHeight="1">
      <x:c r="A58" s="1">
        <x:v>28.0</x:v>
      </x:c>
      <x:c r="B58" s="1">
        <x:v>2.9</x:v>
      </x:c>
    </x:row>
    <x:row r="59" ht="15.75" customHeight="1">
      <x:c r="A59" s="1">
        <x:v>28.5</x:v>
      </x:c>
      <x:c r="B59" s="1">
        <x:v>2.9</x:v>
      </x:c>
    </x:row>
    <x:row r="60" ht="15.75" customHeight="1">
      <x:c r="A60" s="1">
        <x:v>29.0</x:v>
      </x:c>
      <x:c r="B60" s="1">
        <x:v>2.9</x:v>
      </x:c>
    </x:row>
    <x:row r="61" ht="15.75" customHeight="1">
      <x:c r="A61" s="1">
        <x:v>29.5</x:v>
      </x:c>
      <x:c r="B61" s="1">
        <x:v>3.0</x:v>
      </x:c>
    </x:row>
    <x:row r="62" ht="15.75" customHeight="1">
      <x:c r="A62" s="1">
        <x:v>30.0</x:v>
      </x:c>
      <x:c r="B62" s="1">
        <x:v>3.0</x:v>
      </x:c>
    </x:row>
    <x:row r="63" ht="15.75" customHeight="1">
      <x:c r="A63" s="1">
        <x:v>30.5</x:v>
      </x:c>
      <x:c r="B63" s="1">
        <x:v>3.0</x:v>
      </x:c>
    </x:row>
    <x:row r="64" ht="15.75" customHeight="1">
      <x:c r="A64" s="1">
        <x:v>31.0</x:v>
      </x:c>
      <x:c r="B64" s="1">
        <x:v>3.1</x:v>
      </x:c>
    </x:row>
    <x:row r="65" ht="15.75" customHeight="1">
      <x:c r="A65" s="1">
        <x:v>31.5</x:v>
      </x:c>
      <x:c r="B65" s="1">
        <x:v>3.1</x:v>
      </x:c>
    </x:row>
    <x:row r="66" ht="15.75" customHeight="1">
      <x:c r="A66" s="1">
        <x:v>32.0</x:v>
      </x:c>
      <x:c r="B66" s="1">
        <x:v>3.1</x:v>
      </x:c>
    </x:row>
    <x:row r="67" ht="15.75" customHeight="1">
      <x:c r="A67" s="1">
        <x:v>32.5</x:v>
      </x:c>
      <x:c r="B67" s="1">
        <x:v>3.2</x:v>
      </x:c>
    </x:row>
    <x:row r="68" ht="15.75" customHeight="1">
      <x:c r="A68" s="1">
        <x:v>33.0</x:v>
      </x:c>
      <x:c r="B68" s="1">
        <x:v>3.2</x:v>
      </x:c>
    </x:row>
    <x:row r="69" ht="15.75" customHeight="1">
      <x:c r="A69" s="1">
        <x:v>33.5</x:v>
      </x:c>
      <x:c r="B69" s="1">
        <x:v>3.2</x:v>
      </x:c>
    </x:row>
    <x:row r="70" ht="15.75" customHeight="1">
      <x:c r="A70" s="1">
        <x:v>34.0</x:v>
      </x:c>
      <x:c r="B70" s="1">
        <x:v>3.3</x:v>
      </x:c>
    </x:row>
    <x:row r="71" ht="15.75" customHeight="1">
      <x:c r="A71" s="1">
        <x:v>34.5</x:v>
      </x:c>
      <x:c r="B71" s="1">
        <x:v>3.3</x:v>
      </x:c>
    </x:row>
    <x:row r="72" ht="15.75" customHeight="1">
      <x:c r="A72" s="1">
        <x:v>35.0</x:v>
      </x:c>
      <x:c r="B72" s="1">
        <x:v>3.3</x:v>
      </x:c>
    </x:row>
    <x:row r="73" ht="15.75" customHeight="1">
      <x:c r="A73" s="1">
        <x:v>35.5</x:v>
      </x:c>
      <x:c r="B73" s="1">
        <x:v>3.4</x:v>
      </x:c>
    </x:row>
    <x:row r="74" ht="15.75" customHeight="1">
      <x:c r="A74" s="1">
        <x:v>36.0</x:v>
      </x:c>
      <x:c r="B74" s="1">
        <x:v>3.4</x:v>
      </x:c>
    </x:row>
    <x:row r="75" ht="15.75" customHeight="1">
      <x:c r="A75" s="1">
        <x:v>36.5</x:v>
      </x:c>
      <x:c r="B75" s="1">
        <x:v>3.4</x:v>
      </x:c>
    </x:row>
    <x:row r="76" ht="15.75" customHeight="1">
      <x:c r="A76" s="1">
        <x:v>37.0</x:v>
      </x:c>
      <x:c r="B76" s="1">
        <x:v>3.5</x:v>
      </x:c>
    </x:row>
    <x:row r="77" ht="15.75" customHeight="1">
      <x:c r="A77" s="1">
        <x:v>37.5</x:v>
      </x:c>
      <x:c r="B77" s="1">
        <x:v>3.5</x:v>
      </x:c>
    </x:row>
    <x:row r="78" ht="15.75" customHeight="1">
      <x:c r="A78" s="1">
        <x:v>38.0</x:v>
      </x:c>
      <x:c r="B78" s="1">
        <x:v>3.5</x:v>
      </x:c>
    </x:row>
    <x:row r="79" ht="15.75" customHeight="1">
      <x:c r="A79" s="1">
        <x:v>38.5</x:v>
      </x:c>
      <x:c r="B79" s="1">
        <x:v>3.6</x:v>
      </x:c>
    </x:row>
    <x:row r="80" ht="15.75" customHeight="1">
      <x:c r="A80" s="1">
        <x:v>39.0</x:v>
      </x:c>
      <x:c r="B80" s="1">
        <x:v>3.6</x:v>
      </x:c>
    </x:row>
    <x:row r="81" ht="15.75" customHeight="1">
      <x:c r="A81" s="1">
        <x:v>39.5</x:v>
      </x:c>
      <x:c r="B81" s="1">
        <x:v>3.6</x:v>
      </x:c>
    </x:row>
    <x:row r="82" ht="15.75" customHeight="1">
      <x:c r="A82" s="1">
        <x:v>40.0</x:v>
      </x:c>
      <x:c r="B82" s="1">
        <x:v>3.7</x:v>
      </x:c>
    </x:row>
    <x:row r="83" ht="15.75" customHeight="1">
      <x:c r="A83" s="1">
        <x:v>40.5</x:v>
      </x:c>
      <x:c r="B83" s="1">
        <x:v>3.7</x:v>
      </x:c>
    </x:row>
    <x:row r="84" ht="15.75" customHeight="1">
      <x:c r="A84" s="1">
        <x:v>41.0</x:v>
      </x:c>
      <x:c r="B84" s="1">
        <x:v>3.7</x:v>
      </x:c>
    </x:row>
    <x:row r="85" ht="15.75" customHeight="1">
      <x:c r="A85" s="1">
        <x:v>41.5</x:v>
      </x:c>
      <x:c r="B85" s="1">
        <x:v>3.8</x:v>
      </x:c>
    </x:row>
    <x:row r="86" ht="15.75" customHeight="1">
      <x:c r="A86" s="1">
        <x:v>42.0</x:v>
      </x:c>
      <x:c r="B86" s="1">
        <x:v>3.8</x:v>
      </x:c>
    </x:row>
    <x:row r="87" ht="15.75" customHeight="1">
      <x:c r="A87" s="1">
        <x:v>42.5</x:v>
      </x:c>
      <x:c r="B87" s="1">
        <x:v>3.8</x:v>
      </x:c>
    </x:row>
    <x:row r="88" ht="15.75" customHeight="1">
      <x:c r="A88" s="1">
        <x:v>43.0</x:v>
      </x:c>
      <x:c r="B88" s="1">
        <x:v>3.9</x:v>
      </x:c>
    </x:row>
    <x:row r="89" ht="15.75" customHeight="1">
      <x:c r="A89" s="1">
        <x:v>43.5</x:v>
      </x:c>
      <x:c r="B89" s="1">
        <x:v>3.9</x:v>
      </x:c>
    </x:row>
    <x:row r="90" ht="15.75" customHeight="1">
      <x:c r="A90" s="1">
        <x:v>44.0</x:v>
      </x:c>
      <x:c r="B90" s="1">
        <x:v>3.9</x:v>
      </x:c>
    </x:row>
    <x:row r="91" ht="15.75" customHeight="1">
      <x:c r="A91" s="1">
        <x:v>44.5</x:v>
      </x:c>
      <x:c r="B91" s="1">
        <x:v>4.0</x:v>
      </x:c>
    </x:row>
    <x:row r="92" ht="15.75" customHeight="1">
      <x:c r="A92" s="1">
        <x:v>45.0</x:v>
      </x:c>
      <x:c r="B92" s="1">
        <x:v>4.0</x:v>
      </x:c>
    </x:row>
    <x:row r="93" ht="15.75" customHeight="1">
      <x:c r="A93" s="1">
        <x:v>45.5</x:v>
      </x:c>
      <x:c r="B93" s="1">
        <x:v>4.1</x:v>
      </x:c>
    </x:row>
    <x:row r="94" ht="15.75" customHeight="1">
      <x:c r="A94" s="1">
        <x:v>46.0</x:v>
      </x:c>
      <x:c r="B94" s="1">
        <x:v>4.1</x:v>
      </x:c>
    </x:row>
    <x:row r="95" ht="15.75" customHeight="1">
      <x:c r="A95" s="1">
        <x:v>46.5</x:v>
      </x:c>
      <x:c r="B95" s="1">
        <x:v>4.2</x:v>
      </x:c>
    </x:row>
    <x:row r="96" ht="15.75" customHeight="1">
      <x:c r="A96" s="1">
        <x:v>47.0</x:v>
      </x:c>
      <x:c r="B96" s="1">
        <x:v>4.2</x:v>
      </x:c>
    </x:row>
    <x:row r="97" ht="15.75" customHeight="1">
      <x:c r="A97" s="1">
        <x:v>47.5</x:v>
      </x:c>
      <x:c r="B97" s="1">
        <x:v>4.3</x:v>
      </x:c>
    </x:row>
    <x:row r="98" ht="15.75" customHeight="1">
      <x:c r="A98" s="1">
        <x:v>48.0</x:v>
      </x:c>
      <x:c r="B98" s="1">
        <x:v>4.3</x:v>
      </x:c>
    </x:row>
    <x:row r="99" ht="15.75" customHeight="1">
      <x:c r="A99" s="1">
        <x:v>48.5</x:v>
      </x:c>
      <x:c r="B99" s="1">
        <x:v>4.4</x:v>
      </x:c>
    </x:row>
    <x:row r="100" ht="15.75" customHeight="1">
      <x:c r="A100" s="1">
        <x:v>49.0</x:v>
      </x:c>
      <x:c r="B100" s="1">
        <x:v>4.4</x:v>
      </x:c>
    </x:row>
    <x:row r="101" ht="15.75" customHeight="1">
      <x:c r="A101" s="1">
        <x:v>49.5</x:v>
      </x:c>
      <x:c r="B101" s="1">
        <x:v>4.5</x:v>
      </x:c>
    </x:row>
    <x:row r="102" ht="15.75" customHeight="1">
      <x:c r="A102" s="1">
        <x:v>50.0</x:v>
      </x:c>
      <x:c r="B102" s="1">
        <x:v>4.5</x:v>
      </x:c>
    </x:row>
    <x:row r="103" ht="15.75" customHeight="1">
      <x:c r="A103" s="1">
        <x:v>50.5</x:v>
      </x:c>
      <x:c r="B103" s="1">
        <x:v>4.6</x:v>
      </x:c>
    </x:row>
    <x:row r="104" ht="15.75" customHeight="1">
      <x:c r="A104" s="1">
        <x:v>51.0</x:v>
      </x:c>
      <x:c r="B104" s="1">
        <x:v>4.6</x:v>
      </x:c>
    </x:row>
    <x:row r="105" ht="15.75" customHeight="1">
      <x:c r="A105" s="1">
        <x:v>51.5</x:v>
      </x:c>
      <x:c r="B105" s="1">
        <x:v>4.7</x:v>
      </x:c>
    </x:row>
    <x:row r="106" ht="15.75" customHeight="1">
      <x:c r="A106" s="1">
        <x:v>52.0</x:v>
      </x:c>
      <x:c r="B106" s="1">
        <x:v>4.7</x:v>
      </x:c>
    </x:row>
    <x:row r="107" ht="15.75" customHeight="1">
      <x:c r="A107" s="1">
        <x:v>52.5</x:v>
      </x:c>
      <x:c r="B107" s="1">
        <x:v>4.8</x:v>
      </x:c>
    </x:row>
    <x:row r="108" ht="15.75" customHeight="1">
      <x:c r="A108" s="1">
        <x:v>53.0</x:v>
      </x:c>
      <x:c r="B108" s="1">
        <x:v>4.8</x:v>
      </x:c>
    </x:row>
    <x:row r="109" ht="15.75" customHeight="1">
      <x:c r="A109" s="1">
        <x:v>53.5</x:v>
      </x:c>
      <x:c r="B109" s="1">
        <x:v>4.9</x:v>
      </x:c>
    </x:row>
    <x:row r="110" ht="15.75" customHeight="1">
      <x:c r="A110" s="1">
        <x:v>54.0</x:v>
      </x:c>
      <x:c r="B110" s="1">
        <x:v>4.9</x:v>
      </x:c>
    </x:row>
    <x:row r="111" ht="15.75" customHeight="1">
      <x:c r="A111" s="1">
        <x:v>54.5</x:v>
      </x:c>
      <x:c r="B111" s="1">
        <x:v>5.0</x:v>
      </x:c>
    </x:row>
    <x:row r="112" ht="15.75" customHeight="1">
      <x:c r="A112" s="1">
        <x:v>55.0</x:v>
      </x:c>
      <x:c r="B112" s="1">
        <x:v>5.0</x:v>
      </x:c>
    </x:row>
    <x:row r="113" ht="15.75" customHeight="1">
      <x:c r="A113" s="1">
        <x:v>55.5</x:v>
      </x:c>
      <x:c r="B113" s="1">
        <x:v>5.1</x:v>
      </x:c>
    </x:row>
    <x:row r="114" ht="15.75" customHeight="1">
      <x:c r="A114" s="1">
        <x:v>56.0</x:v>
      </x:c>
      <x:c r="B114" s="1">
        <x:v>5.1</x:v>
      </x:c>
    </x:row>
    <x:row r="115" ht="15.75" customHeight="1">
      <x:c r="A115" s="1">
        <x:v>56.5</x:v>
      </x:c>
      <x:c r="B115" s="1">
        <x:v>5.2</x:v>
      </x:c>
    </x:row>
    <x:row r="116" ht="15.75" customHeight="1">
      <x:c r="A116" s="1">
        <x:v>57.0</x:v>
      </x:c>
      <x:c r="B116" s="1">
        <x:v>5.2</x:v>
      </x:c>
    </x:row>
    <x:row r="117" ht="15.75" customHeight="1">
      <x:c r="A117" s="1">
        <x:v>57.5</x:v>
      </x:c>
      <x:c r="B117" s="1">
        <x:v>5.3</x:v>
      </x:c>
    </x:row>
    <x:row r="118" ht="15.75" customHeight="1">
      <x:c r="A118" s="1">
        <x:v>58.0</x:v>
      </x:c>
      <x:c r="B118" s="1">
        <x:v>5.3</x:v>
      </x:c>
    </x:row>
    <x:row r="119" ht="15.75" customHeight="1">
      <x:c r="A119" s="1">
        <x:v>58.5</x:v>
      </x:c>
      <x:c r="B119" s="1">
        <x:v>5.4</x:v>
      </x:c>
    </x:row>
    <x:row r="120" ht="15.75" customHeight="1">
      <x:c r="A120" s="1">
        <x:v>59.0</x:v>
      </x:c>
      <x:c r="B120" s="1">
        <x:v>5.4</x:v>
      </x:c>
    </x:row>
    <x:row r="121" ht="15.75" customHeight="1">
      <x:c r="A121" s="1">
        <x:v>59.5</x:v>
      </x:c>
      <x:c r="B121" s="1">
        <x:v>5.5</x:v>
      </x:c>
    </x:row>
    <x:row r="122" ht="15.75" customHeight="1">
      <x:c r="A122" s="1">
        <x:v>60.0</x:v>
      </x:c>
      <x:c r="B122" s="1">
        <x:v>5.5</x:v>
      </x:c>
    </x:row>
    <x:row r="123" ht="15.75" customHeight="1">
      <x:c r="A123" s="1">
        <x:v>60.5</x:v>
      </x:c>
      <x:c r="B123" s="1">
        <x:v>5.6</x:v>
      </x:c>
    </x:row>
    <x:row r="124" ht="15.75" customHeight="1">
      <x:c r="A124" s="1">
        <x:v>61.0</x:v>
      </x:c>
      <x:c r="B124" s="1">
        <x:v>5.6</x:v>
      </x:c>
    </x:row>
    <x:row r="125" ht="15.75" customHeight="1">
      <x:c r="A125" s="1">
        <x:v>61.5</x:v>
      </x:c>
      <x:c r="B125" s="1">
        <x:v>5.7</x:v>
      </x:c>
    </x:row>
    <x:row r="126" ht="15.75" customHeight="1">
      <x:c r="A126" s="1">
        <x:v>62.0</x:v>
      </x:c>
      <x:c r="B126" s="1">
        <x:v>5.7</x:v>
      </x:c>
    </x:row>
    <x:row r="127" ht="15.75" customHeight="1">
      <x:c r="A127" s="1">
        <x:v>62.5</x:v>
      </x:c>
      <x:c r="B127" s="1">
        <x:v>5.8</x:v>
      </x:c>
    </x:row>
    <x:row r="128" ht="15.75" customHeight="1">
      <x:c r="A128" s="1">
        <x:v>63.0</x:v>
      </x:c>
      <x:c r="B128" s="1">
        <x:v>5.8</x:v>
      </x:c>
    </x:row>
    <x:row r="129" ht="15.75" customHeight="1">
      <x:c r="A129" s="1">
        <x:v>63.5</x:v>
      </x:c>
      <x:c r="B129" s="1">
        <x:v>5.9</x:v>
      </x:c>
    </x:row>
    <x:row r="130" ht="15.75" customHeight="1">
      <x:c r="A130" s="1">
        <x:v>64.0</x:v>
      </x:c>
      <x:c r="B130" s="1">
        <x:v>5.9</x:v>
      </x:c>
    </x:row>
    <x:row r="131" ht="15.75" customHeight="1">
      <x:c r="A131" s="1">
        <x:v>64.5</x:v>
      </x:c>
      <x:c r="B131" s="1">
        <x:v>6.0</x:v>
      </x:c>
    </x:row>
    <x:row r="132" ht="15.75" customHeight="1">
      <x:c r="A132" s="1">
        <x:v>65.0</x:v>
      </x:c>
      <x:c r="B132" s="1">
        <x:v>6.0</x:v>
      </x:c>
    </x:row>
    <x:row r="133" ht="15.75" customHeight="1">
      <x:c r="A133" s="1">
        <x:v>65.5</x:v>
      </x:c>
      <x:c r="B133" s="1">
        <x:v>6.1</x:v>
      </x:c>
    </x:row>
    <x:row r="134" ht="15.75" customHeight="1">
      <x:c r="A134" s="1">
        <x:v>66.0</x:v>
      </x:c>
      <x:c r="B134" s="1">
        <x:v>6.1</x:v>
      </x:c>
    </x:row>
    <x:row r="135" ht="15.75" customHeight="1">
      <x:c r="A135" s="1">
        <x:v>66.5</x:v>
      </x:c>
      <x:c r="B135" s="1">
        <x:v>6.2</x:v>
      </x:c>
    </x:row>
    <x:row r="136" ht="15.75" customHeight="1">
      <x:c r="A136" s="1">
        <x:v>67.0</x:v>
      </x:c>
      <x:c r="B136" s="1">
        <x:v>6.2</x:v>
      </x:c>
    </x:row>
    <x:row r="137" ht="15.75" customHeight="1">
      <x:c r="A137" s="1">
        <x:v>67.5</x:v>
      </x:c>
      <x:c r="B137" s="1">
        <x:v>6.3</x:v>
      </x:c>
    </x:row>
    <x:row r="138" ht="15.75" customHeight="1">
      <x:c r="A138" s="1">
        <x:v>68.0</x:v>
      </x:c>
      <x:c r="B138" s="1">
        <x:v>6.3</x:v>
      </x:c>
    </x:row>
    <x:row r="139" ht="15.75" customHeight="1">
      <x:c r="A139" s="1">
        <x:v>68.5</x:v>
      </x:c>
      <x:c r="B139" s="1">
        <x:v>6.4</x:v>
      </x:c>
    </x:row>
    <x:row r="140" ht="15.75" customHeight="1">
      <x:c r="A140" s="1">
        <x:v>69.0</x:v>
      </x:c>
      <x:c r="B140" s="1">
        <x:v>6.4</x:v>
      </x:c>
    </x:row>
    <x:row r="141" ht="15.75" customHeight="1">
      <x:c r="A141" s="1">
        <x:v>69.5</x:v>
      </x:c>
      <x:c r="B141" s="1">
        <x:v>6.5</x:v>
      </x:c>
    </x:row>
    <x:row r="142" ht="15.75" customHeight="1">
      <x:c r="A142" s="1">
        <x:v>70.0</x:v>
      </x:c>
      <x:c r="B142" s="1">
        <x:v>6.5</x:v>
      </x:c>
    </x:row>
    <x:row r="143" ht="15.75" customHeight="1">
      <x:c r="A143" s="1">
        <x:v>70.5</x:v>
      </x:c>
      <x:c r="B143" s="1">
        <x:v>6.6</x:v>
      </x:c>
    </x:row>
    <x:row r="144" ht="15.75" customHeight="1">
      <x:c r="A144" s="1">
        <x:v>71.0</x:v>
      </x:c>
      <x:c r="B144" s="1">
        <x:v>6.6</x:v>
      </x:c>
    </x:row>
    <x:row r="145" ht="15.75" customHeight="1">
      <x:c r="A145" s="1">
        <x:v>71.5</x:v>
      </x:c>
      <x:c r="B145" s="1">
        <x:v>6.7</x:v>
      </x:c>
    </x:row>
    <x:row r="146" ht="15.75" customHeight="1">
      <x:c r="A146" s="1">
        <x:v>72.0</x:v>
      </x:c>
      <x:c r="B146" s="1">
        <x:v>6.7</x:v>
      </x:c>
    </x:row>
    <x:row r="147" ht="15.75" customHeight="1">
      <x:c r="A147" s="1">
        <x:v>72.5</x:v>
      </x:c>
      <x:c r="B147" s="1">
        <x:v>6.8</x:v>
      </x:c>
    </x:row>
    <x:row r="148" ht="15.75" customHeight="1">
      <x:c r="A148" s="1">
        <x:v>73.0</x:v>
      </x:c>
      <x:c r="B148" s="1">
        <x:v>6.8</x:v>
      </x:c>
    </x:row>
    <x:row r="149" ht="15.75" customHeight="1">
      <x:c r="A149" s="1">
        <x:v>73.5</x:v>
      </x:c>
      <x:c r="B149" s="1">
        <x:v>6.9</x:v>
      </x:c>
    </x:row>
    <x:row r="150" ht="15.75" customHeight="1">
      <x:c r="A150" s="1">
        <x:v>74.0</x:v>
      </x:c>
      <x:c r="B150" s="1">
        <x:v>6.9</x:v>
      </x:c>
    </x:row>
    <x:row r="151" ht="15.75" customHeight="1">
      <x:c r="A151" s="1">
        <x:v>74.5</x:v>
      </x:c>
      <x:c r="B151" s="1">
        <x:v>7.0</x:v>
      </x:c>
    </x:row>
    <x:row r="152" ht="15.75" customHeight="1">
      <x:c r="A152" s="1">
        <x:v>75.0</x:v>
      </x:c>
      <x:c r="B152" s="1">
        <x:v>7.0</x:v>
      </x:c>
    </x:row>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FormatPr defaultColWidth="14.430000305175781" defaultRowHeight="15"/>
  <x:cols>
    <x:col min="1" max="6" width="10.710000038146973" customWidth="1"/>
  </x:cols>
  <x:sheetData>
    <x:row r="1">
      <x:c r="A1" s="1" t="s">
        <x:v>71</x:v>
      </x:c>
      <x:c r="B1" s="1" t="s">
        <x:v>72</x:v>
      </x:c>
    </x:row>
    <x:row r="2">
      <x:c r="A2" s="1">
        <x:v>0.0</x:v>
      </x:c>
      <x:c r="B2" s="2">
        <x:v>1.0</x:v>
      </x:c>
    </x:row>
    <x:row r="3">
      <x:c r="A3" s="1">
        <x:v>1.0</x:v>
      </x:c>
      <x:c r="B3" s="2">
        <x:v>1.1</x:v>
      </x:c>
    </x:row>
    <x:row r="4">
      <x:c r="A4" s="1">
        <x:v>2.0</x:v>
      </x:c>
      <x:c r="B4" s="2">
        <x:v>1.2</x:v>
      </x:c>
    </x:row>
    <x:row r="5">
      <x:c r="A5" s="1">
        <x:v>3.0</x:v>
      </x:c>
      <x:c r="B5" s="2">
        <x:v>1.3</x:v>
      </x:c>
    </x:row>
    <x:row r="6">
      <x:c r="A6" s="1">
        <x:v>4.0</x:v>
      </x:c>
      <x:c r="B6" s="2">
        <x:v>1.4</x:v>
      </x:c>
    </x:row>
    <x:row r="7">
      <x:c r="A7" s="1">
        <x:v>5.0</x:v>
      </x:c>
      <x:c r="B7" s="2">
        <x:v>1.5</x:v>
      </x:c>
    </x:row>
    <x:row r="8">
      <x:c r="A8" s="1">
        <x:v>6.0</x:v>
      </x:c>
      <x:c r="B8" s="2">
        <x:v>1.6</x:v>
      </x:c>
    </x:row>
    <x:row r="9">
      <x:c r="A9" s="1">
        <x:v>7.0</x:v>
      </x:c>
      <x:c r="B9" s="2">
        <x:v>1.7</x:v>
      </x:c>
    </x:row>
    <x:row r="10">
      <x:c r="A10" s="1">
        <x:v>8.0</x:v>
      </x:c>
      <x:c r="B10" s="2">
        <x:v>1.8</x:v>
      </x:c>
    </x:row>
    <x:row r="11">
      <x:c r="A11" s="1">
        <x:v>9.0</x:v>
      </x:c>
      <x:c r="B11" s="2">
        <x:v>1.9</x:v>
      </x:c>
    </x:row>
    <x:row r="12">
      <x:c r="A12" s="1">
        <x:v>10.0</x:v>
      </x:c>
      <x:c r="B12" s="2">
        <x:v>2.0</x:v>
      </x:c>
    </x:row>
    <x:row r="13">
      <x:c r="A13" s="1">
        <x:v>11.0</x:v>
      </x:c>
      <x:c r="B13" s="2">
        <x:v>2.1</x:v>
      </x:c>
    </x:row>
    <x:row r="14">
      <x:c r="A14" s="1">
        <x:v>12.0</x:v>
      </x:c>
      <x:c r="B14" s="2">
        <x:v>2.2</x:v>
      </x:c>
    </x:row>
    <x:row r="15">
      <x:c r="A15" s="1">
        <x:v>13.0</x:v>
      </x:c>
      <x:c r="B15" s="2">
        <x:v>2.3</x:v>
      </x:c>
    </x:row>
    <x:row r="16">
      <x:c r="A16" s="1">
        <x:v>14.0</x:v>
      </x:c>
      <x:c r="B16" s="2">
        <x:v>2.3</x:v>
      </x:c>
    </x:row>
    <x:row r="17">
      <x:c r="A17" s="1">
        <x:v>15.0</x:v>
      </x:c>
      <x:c r="B17" s="2">
        <x:v>2.4</x:v>
      </x:c>
    </x:row>
    <x:row r="18">
      <x:c r="A18" s="1">
        <x:v>16.0</x:v>
      </x:c>
      <x:c r="B18" s="2">
        <x:v>2.5</x:v>
      </x:c>
    </x:row>
    <x:row r="19">
      <x:c r="A19" s="1">
        <x:v>17.0</x:v>
      </x:c>
      <x:c r="B19" s="2">
        <x:v>2.6</x:v>
      </x:c>
    </x:row>
    <x:row r="20">
      <x:c r="A20" s="1">
        <x:v>18.0</x:v>
      </x:c>
      <x:c r="B20" s="2">
        <x:v>2.7</x:v>
      </x:c>
    </x:row>
    <x:row r="21" ht="15.75" customHeight="1">
      <x:c r="A21" s="1">
        <x:v>19.0</x:v>
      </x:c>
      <x:c r="B21" s="2">
        <x:v>2.8</x:v>
      </x:c>
    </x:row>
    <x:row r="22" ht="15.75" customHeight="1">
      <x:c r="A22" s="1">
        <x:v>20.0</x:v>
      </x:c>
      <x:c r="B22" s="2">
        <x:v>2.9</x:v>
      </x:c>
    </x:row>
    <x:row r="23" ht="15.75" customHeight="1">
      <x:c r="A23" s="1">
        <x:v>21.0</x:v>
      </x:c>
      <x:c r="B23" s="2">
        <x:v>3.0</x:v>
      </x:c>
    </x:row>
    <x:row r="24" ht="15.75" customHeight="1">
      <x:c r="A24" s="1">
        <x:v>22.0</x:v>
      </x:c>
      <x:c r="B24" s="2">
        <x:v>3.1</x:v>
      </x:c>
    </x:row>
    <x:row r="25" ht="15.75" customHeight="1">
      <x:c r="A25" s="1">
        <x:v>23.0</x:v>
      </x:c>
      <x:c r="B25" s="2">
        <x:v>3.2</x:v>
      </x:c>
    </x:row>
    <x:row r="26" ht="15.75" customHeight="1">
      <x:c r="A26" s="1">
        <x:v>24.0</x:v>
      </x:c>
      <x:c r="B26" s="2">
        <x:v>3.3</x:v>
      </x:c>
    </x:row>
    <x:row r="27" ht="15.75" customHeight="1">
      <x:c r="A27" s="1">
        <x:v>25.0</x:v>
      </x:c>
      <x:c r="B27" s="2">
        <x:v>3.4</x:v>
      </x:c>
    </x:row>
    <x:row r="28" ht="15.75" customHeight="1">
      <x:c r="A28" s="1">
        <x:v>26.0</x:v>
      </x:c>
      <x:c r="B28" s="2">
        <x:v>3.5</x:v>
      </x:c>
    </x:row>
    <x:row r="29" ht="15.75" customHeight="1">
      <x:c r="A29" s="1">
        <x:v>27.0</x:v>
      </x:c>
      <x:c r="B29" s="2">
        <x:v>3.6</x:v>
      </x:c>
    </x:row>
    <x:row r="30" ht="15.75" customHeight="1">
      <x:c r="A30" s="1">
        <x:v>28.0</x:v>
      </x:c>
      <x:c r="B30" s="2">
        <x:v>3.7</x:v>
      </x:c>
    </x:row>
    <x:row r="31" ht="15.75" customHeight="1">
      <x:c r="A31" s="1">
        <x:v>29.0</x:v>
      </x:c>
      <x:c r="B31" s="2">
        <x:v>3.8</x:v>
      </x:c>
    </x:row>
    <x:row r="32" ht="15.75" customHeight="1">
      <x:c r="A32" s="1">
        <x:v>30.0</x:v>
      </x:c>
      <x:c r="B32" s="2">
        <x:v>3.9</x:v>
      </x:c>
    </x:row>
    <x:row r="33" ht="15.75" customHeight="1">
      <x:c r="A33" s="1">
        <x:v>31.0</x:v>
      </x:c>
      <x:c r="B33" s="2">
        <x:v>4.0</x:v>
      </x:c>
    </x:row>
    <x:row r="34" ht="15.75" customHeight="1">
      <x:c r="A34" s="1">
        <x:v>32.0</x:v>
      </x:c>
      <x:c r="B34" s="2">
        <x:v>4.1</x:v>
      </x:c>
    </x:row>
    <x:row r="35" ht="15.75" customHeight="1">
      <x:c r="A35" s="1">
        <x:v>33.0</x:v>
      </x:c>
      <x:c r="B35" s="2">
        <x:v>4.3</x:v>
      </x:c>
    </x:row>
    <x:row r="36" ht="15.75" customHeight="1">
      <x:c r="A36" s="1">
        <x:v>34.0</x:v>
      </x:c>
      <x:c r="B36" s="2">
        <x:v>4.4</x:v>
      </x:c>
    </x:row>
    <x:row r="37" ht="15.75" customHeight="1">
      <x:c r="A37" s="1">
        <x:v>35.0</x:v>
      </x:c>
      <x:c r="B37" s="2">
        <x:v>4.5</x:v>
      </x:c>
    </x:row>
    <x:row r="38" ht="15.75" customHeight="1">
      <x:c r="A38" s="1">
        <x:v>36.0</x:v>
      </x:c>
      <x:c r="B38" s="2">
        <x:v>4.7</x:v>
      </x:c>
    </x:row>
    <x:row r="39" ht="15.75" customHeight="1">
      <x:c r="A39" s="1">
        <x:v>37.0</x:v>
      </x:c>
      <x:c r="B39" s="2">
        <x:v>4.8</x:v>
      </x:c>
    </x:row>
    <x:row r="40" ht="15.75" customHeight="1">
      <x:c r="A40" s="1">
        <x:v>38.0</x:v>
      </x:c>
      <x:c r="B40" s="2">
        <x:v>5.0</x:v>
      </x:c>
    </x:row>
    <x:row r="41" ht="15.75" customHeight="1">
      <x:c r="A41" s="1">
        <x:v>39.0</x:v>
      </x:c>
      <x:c r="B41" s="2">
        <x:v>5.1</x:v>
      </x:c>
    </x:row>
    <x:row r="42" ht="15.75" customHeight="1">
      <x:c r="A42" s="1">
        <x:v>40.0</x:v>
      </x:c>
      <x:c r="B42" s="2">
        <x:v>5.3</x:v>
      </x:c>
    </x:row>
    <x:row r="43" ht="15.75" customHeight="1">
      <x:c r="A43" s="1">
        <x:v>41.0</x:v>
      </x:c>
      <x:c r="B43" s="2">
        <x:v>5.4</x:v>
      </x:c>
    </x:row>
    <x:row r="44" ht="15.75" customHeight="1">
      <x:c r="A44" s="1">
        <x:v>42.0</x:v>
      </x:c>
      <x:c r="B44" s="2">
        <x:v>5.6</x:v>
      </x:c>
    </x:row>
    <x:row r="45" ht="15.75" customHeight="1">
      <x:c r="A45" s="1">
        <x:v>43.0</x:v>
      </x:c>
      <x:c r="B45" s="2">
        <x:v>5.7</x:v>
      </x:c>
    </x:row>
    <x:row r="46" ht="15.75" customHeight="1">
      <x:c r="A46" s="1">
        <x:v>44.0</x:v>
      </x:c>
      <x:c r="B46" s="2">
        <x:v>5.8</x:v>
      </x:c>
    </x:row>
    <x:row r="47" ht="15.75" customHeight="1">
      <x:c r="A47" s="1">
        <x:v>45.0</x:v>
      </x:c>
      <x:c r="B47" s="2">
        <x:v>6.0</x:v>
      </x:c>
    </x:row>
    <x:row r="48" ht="15.75" customHeight="1">
      <x:c r="A48" s="1">
        <x:v>46.0</x:v>
      </x:c>
      <x:c r="B48" s="2">
        <x:v>6.1</x:v>
      </x:c>
    </x:row>
    <x:row r="49" ht="15.75" customHeight="1">
      <x:c r="A49" s="1">
        <x:v>47.0</x:v>
      </x:c>
      <x:c r="B49" s="2">
        <x:v>6.3</x:v>
      </x:c>
    </x:row>
    <x:row r="50" ht="15.75" customHeight="1">
      <x:c r="A50" s="1">
        <x:v>48.0</x:v>
      </x:c>
      <x:c r="B50" s="2">
        <x:v>6.4</x:v>
      </x:c>
    </x:row>
    <x:row r="51" ht="15.75" customHeight="1">
      <x:c r="A51" s="1">
        <x:v>49.0</x:v>
      </x:c>
      <x:c r="B51" s="2">
        <x:v>6.6</x:v>
      </x:c>
    </x:row>
    <x:row r="52" ht="15.75" customHeight="1">
      <x:c r="A52" s="1">
        <x:v>50.0</x:v>
      </x:c>
      <x:c r="B52" s="2">
        <x:v>6.7</x:v>
      </x:c>
    </x:row>
    <x:row r="53" ht="15.75" customHeight="1">
      <x:c r="A53" s="1">
        <x:v>51.0</x:v>
      </x:c>
      <x:c r="B53" s="2">
        <x:v>6.9</x:v>
      </x:c>
    </x:row>
    <x:row r="54" ht="15.75" customHeight="1">
      <x:c r="A54" s="1">
        <x:v>52.0</x:v>
      </x:c>
      <x:c r="B54" s="2">
        <x:v>7.0</x:v>
      </x:c>
    </x:row>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FormatPr defaultColWidth="14.430000305175781" defaultRowHeight="15"/>
  <x:cols>
    <x:col min="1" max="6" width="10.710000038146973" customWidth="1"/>
  </x:cols>
  <x:sheetData>
    <x:row r="1">
      <x:c r="A1" s="1" t="s">
        <x:v>66</x:v>
      </x:c>
      <x:c r="B1" s="1" t="s">
        <x:v>67</x:v>
      </x:c>
    </x:row>
    <x:row r="2">
      <x:c r="A2" s="1">
        <x:v>0.0</x:v>
      </x:c>
      <x:c r="B2" s="1">
        <x:v>1.0</x:v>
      </x:c>
    </x:row>
    <x:row r="3">
      <x:c r="A3" s="1">
        <x:v>0.5</x:v>
      </x:c>
      <x:c r="B3" s="1">
        <x:v>1.1</x:v>
      </x:c>
    </x:row>
    <x:row r="4">
      <x:c r="A4" s="1">
        <x:v>1.0</x:v>
      </x:c>
      <x:c r="B4" s="1">
        <x:v>1.2</x:v>
      </x:c>
    </x:row>
    <x:row r="5">
      <x:c r="A5" s="1">
        <x:v>1.5</x:v>
      </x:c>
      <x:c r="B5" s="1">
        <x:v>1.3</x:v>
      </x:c>
    </x:row>
    <x:row r="6">
      <x:c r="A6" s="1">
        <x:v>2.0</x:v>
      </x:c>
      <x:c r="B6" s="1">
        <x:v>1.4</x:v>
      </x:c>
    </x:row>
    <x:row r="7">
      <x:c r="A7" s="1">
        <x:v>2.5</x:v>
      </x:c>
      <x:c r="B7" s="1">
        <x:v>1.5</x:v>
      </x:c>
    </x:row>
    <x:row r="8">
      <x:c r="A8" s="1">
        <x:v>3.0</x:v>
      </x:c>
      <x:c r="B8" s="1">
        <x:v>1.6</x:v>
      </x:c>
    </x:row>
    <x:row r="9">
      <x:c r="A9" s="1">
        <x:v>3.5</x:v>
      </x:c>
      <x:c r="B9" s="1">
        <x:v>1.7</x:v>
      </x:c>
    </x:row>
    <x:row r="10">
      <x:c r="A10" s="1">
        <x:v>4.0</x:v>
      </x:c>
      <x:c r="B10" s="1">
        <x:v>1.8</x:v>
      </x:c>
    </x:row>
    <x:row r="11">
      <x:c r="A11" s="1">
        <x:v>4.5</x:v>
      </x:c>
      <x:c r="B11" s="1">
        <x:v>1.9</x:v>
      </x:c>
    </x:row>
    <x:row r="12">
      <x:c r="A12" s="1">
        <x:v>5.0</x:v>
      </x:c>
      <x:c r="B12" s="1">
        <x:v>2.0</x:v>
      </x:c>
    </x:row>
    <x:row r="13">
      <x:c r="A13" s="1">
        <x:v>5.5</x:v>
      </x:c>
      <x:c r="B13" s="1">
        <x:v>2.1</x:v>
      </x:c>
    </x:row>
    <x:row r="14">
      <x:c r="A14" s="1">
        <x:v>6.0</x:v>
      </x:c>
      <x:c r="B14" s="1">
        <x:v>2.2</x:v>
      </x:c>
    </x:row>
    <x:row r="15">
      <x:c r="A15" s="1">
        <x:v>6.5</x:v>
      </x:c>
      <x:c r="B15" s="1">
        <x:v>2.3</x:v>
      </x:c>
    </x:row>
    <x:row r="16">
      <x:c r="A16" s="1">
        <x:v>7.0</x:v>
      </x:c>
      <x:c r="B16" s="1">
        <x:v>2.4</x:v>
      </x:c>
    </x:row>
    <x:row r="17">
      <x:c r="A17" s="1">
        <x:v>7.5</x:v>
      </x:c>
      <x:c r="B17" s="1">
        <x:v>2.5</x:v>
      </x:c>
    </x:row>
    <x:row r="18">
      <x:c r="A18" s="1">
        <x:v>8.0</x:v>
      </x:c>
      <x:c r="B18" s="1">
        <x:v>2.6</x:v>
      </x:c>
    </x:row>
    <x:row r="19">
      <x:c r="A19" s="1">
        <x:v>8.5</x:v>
      </x:c>
      <x:c r="B19" s="1">
        <x:v>2.7</x:v>
      </x:c>
    </x:row>
    <x:row r="20">
      <x:c r="A20" s="1">
        <x:v>9.0</x:v>
      </x:c>
      <x:c r="B20" s="1">
        <x:v>2.8</x:v>
      </x:c>
    </x:row>
    <x:row r="21" ht="15.75" customHeight="1">
      <x:c r="A21" s="1">
        <x:v>9.5</x:v>
      </x:c>
      <x:c r="B21" s="1">
        <x:v>2.9</x:v>
      </x:c>
    </x:row>
    <x:row r="22" ht="15.75" customHeight="1">
      <x:c r="A22" s="1">
        <x:v>10.0</x:v>
      </x:c>
      <x:c r="B22" s="1">
        <x:v>3.0</x:v>
      </x:c>
    </x:row>
    <x:row r="23" ht="15.75" customHeight="1">
      <x:c r="A23" s="1">
        <x:v>10.5</x:v>
      </x:c>
      <x:c r="B23" s="1">
        <x:v>3.1</x:v>
      </x:c>
    </x:row>
    <x:row r="24" ht="15.75" customHeight="1">
      <x:c r="A24" s="1">
        <x:v>11.0</x:v>
      </x:c>
      <x:c r="B24" s="1">
        <x:v>3.2</x:v>
      </x:c>
    </x:row>
    <x:row r="25" ht="15.75" customHeight="1">
      <x:c r="A25" s="1">
        <x:v>11.5</x:v>
      </x:c>
      <x:c r="B25" s="1">
        <x:v>3.3</x:v>
      </x:c>
    </x:row>
    <x:row r="26" ht="15.75" customHeight="1">
      <x:c r="A26" s="1">
        <x:v>12.0</x:v>
      </x:c>
      <x:c r="B26" s="1">
        <x:v>3.4</x:v>
      </x:c>
    </x:row>
    <x:row r="27" ht="15.75" customHeight="1">
      <x:c r="A27" s="1">
        <x:v>12.5</x:v>
      </x:c>
      <x:c r="B27" s="1">
        <x:v>3.5</x:v>
      </x:c>
    </x:row>
    <x:row r="28" ht="15.75" customHeight="1">
      <x:c r="A28" s="1">
        <x:v>13.0</x:v>
      </x:c>
      <x:c r="B28" s="1">
        <x:v>3.6</x:v>
      </x:c>
    </x:row>
    <x:row r="29" ht="15.75" customHeight="1">
      <x:c r="A29" s="1">
        <x:v>13.5</x:v>
      </x:c>
      <x:c r="B29" s="1">
        <x:v>3.7</x:v>
      </x:c>
    </x:row>
    <x:row r="30" ht="15.75" customHeight="1">
      <x:c r="A30" s="1">
        <x:v>14.0</x:v>
      </x:c>
      <x:c r="B30" s="1">
        <x:v>3.8</x:v>
      </x:c>
    </x:row>
    <x:row r="31" ht="15.75" customHeight="1">
      <x:c r="A31" s="1">
        <x:v>14.5</x:v>
      </x:c>
      <x:c r="B31" s="1">
        <x:v>3.9</x:v>
      </x:c>
    </x:row>
    <x:row r="32" ht="15.75" customHeight="1">
      <x:c r="A32" s="1">
        <x:v>15.0</x:v>
      </x:c>
      <x:c r="B32" s="1">
        <x:v>4.0</x:v>
      </x:c>
    </x:row>
    <x:row r="33" ht="15.75" customHeight="1">
      <x:c r="A33" s="1">
        <x:v>15.5</x:v>
      </x:c>
      <x:c r="B33" s="1">
        <x:v>4.2</x:v>
      </x:c>
    </x:row>
    <x:row r="34" ht="15.75" customHeight="1">
      <x:c r="A34" s="1">
        <x:v>16.0</x:v>
      </x:c>
      <x:c r="B34" s="1">
        <x:v>4.3</x:v>
      </x:c>
    </x:row>
    <x:row r="35" ht="15.75" customHeight="1">
      <x:c r="A35" s="1">
        <x:v>16.5</x:v>
      </x:c>
      <x:c r="B35" s="1">
        <x:v>4.5</x:v>
      </x:c>
    </x:row>
    <x:row r="36" ht="15.75" customHeight="1">
      <x:c r="A36" s="1">
        <x:v>17.0</x:v>
      </x:c>
      <x:c r="B36" s="1">
        <x:v>4.6</x:v>
      </x:c>
    </x:row>
    <x:row r="37" ht="15.75" customHeight="1">
      <x:c r="A37" s="1">
        <x:v>17.5</x:v>
      </x:c>
      <x:c r="B37" s="1">
        <x:v>4.8</x:v>
      </x:c>
    </x:row>
    <x:row r="38" ht="15.75" customHeight="1">
      <x:c r="A38" s="1">
        <x:v>18.0</x:v>
      </x:c>
      <x:c r="B38" s="1">
        <x:v>4.9</x:v>
      </x:c>
    </x:row>
    <x:row r="39" ht="15.75" customHeight="1">
      <x:c r="A39" s="1">
        <x:v>18.5</x:v>
      </x:c>
      <x:c r="B39" s="1">
        <x:v>5.1</x:v>
      </x:c>
    </x:row>
    <x:row r="40" ht="15.75" customHeight="1">
      <x:c r="A40" s="1">
        <x:v>19.0</x:v>
      </x:c>
      <x:c r="B40" s="1">
        <x:v>5.2</x:v>
      </x:c>
    </x:row>
    <x:row r="41" ht="15.75" customHeight="1">
      <x:c r="A41" s="1">
        <x:v>19.5</x:v>
      </x:c>
      <x:c r="B41" s="1">
        <x:v>5.4</x:v>
      </x:c>
    </x:row>
    <x:row r="42" ht="15.75" customHeight="1">
      <x:c r="A42" s="1">
        <x:v>20.0</x:v>
      </x:c>
      <x:c r="B42" s="1">
        <x:v>5.5</x:v>
      </x:c>
    </x:row>
    <x:row r="43" ht="15.75" customHeight="1">
      <x:c r="A43" s="1">
        <x:v>20.5</x:v>
      </x:c>
      <x:c r="B43" s="1">
        <x:v>5.7</x:v>
      </x:c>
    </x:row>
    <x:row r="44" ht="15.75" customHeight="1">
      <x:c r="A44" s="1">
        <x:v>21.0</x:v>
      </x:c>
      <x:c r="B44" s="1">
        <x:v>5.8</x:v>
      </x:c>
    </x:row>
    <x:row r="45" ht="15.75" customHeight="1">
      <x:c r="A45" s="1">
        <x:v>21.5</x:v>
      </x:c>
      <x:c r="B45" s="1">
        <x:v>6.0</x:v>
      </x:c>
    </x:row>
    <x:row r="46" ht="15.75" customHeight="1">
      <x:c r="A46" s="1">
        <x:v>22.0</x:v>
      </x:c>
      <x:c r="B46" s="1">
        <x:v>6.1</x:v>
      </x:c>
    </x:row>
    <x:row r="47" ht="15.75" customHeight="1">
      <x:c r="A47" s="1">
        <x:v>22.5</x:v>
      </x:c>
      <x:c r="B47" s="1">
        <x:v>6.3</x:v>
      </x:c>
    </x:row>
    <x:row r="48" ht="15.75" customHeight="1">
      <x:c r="A48" s="1">
        <x:v>23.0</x:v>
      </x:c>
      <x:c r="B48" s="1">
        <x:v>6.4</x:v>
      </x:c>
    </x:row>
    <x:row r="49" ht="15.75" customHeight="1">
      <x:c r="A49" s="1">
        <x:v>23.5</x:v>
      </x:c>
      <x:c r="B49" s="1">
        <x:v>6.6</x:v>
      </x:c>
    </x:row>
    <x:row r="50" ht="15.75" customHeight="1">
      <x:c r="A50" s="1">
        <x:v>24.0</x:v>
      </x:c>
      <x:c r="B50" s="1">
        <x:v>6.7</x:v>
      </x:c>
    </x:row>
    <x:row r="51" ht="15.75" customHeight="1">
      <x:c r="A51" s="1">
        <x:v>24.5</x:v>
      </x:c>
      <x:c r="B51" s="1">
        <x:v>6.9</x:v>
      </x:c>
    </x:row>
    <x:row r="52" ht="15.75" customHeight="1">
      <x:c r="A52" s="1">
        <x:v>25.0</x:v>
      </x:c>
      <x:c r="B52" s="1">
        <x:v>7.0</x:v>
      </x:c>
    </x:row>
    <x:row r="53" ht="15.75" customHeight="1">
      <x:c r="B53" s="2"/>
    </x:row>
    <x:row r="54" ht="15.75" customHeight="1">
      <x:c r="B54" s="2"/>
    </x:row>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FormatPr defaultColWidth="14.430000305175781" defaultRowHeight="15"/>
  <x:cols>
    <x:col min="1" max="6" width="10.710000038146973" customWidth="1"/>
  </x:cols>
  <x:sheetData>
    <x:row r="1">
      <x:c r="A1" s="43" t="s">
        <x:v>73</x:v>
      </x:c>
      <x:c r="B1" s="44" t="s">
        <x:v>66</x:v>
      </x:c>
      <x:c r="C1" s="45"/>
      <x:c r="D1" s="45"/>
      <x:c r="E1" s="46"/>
    </x:row>
    <x:row r="2">
      <x:c r="A2" s="47"/>
      <x:c r="B2" s="48" t="s">
        <x:v>63</x:v>
      </x:c>
      <x:c r="C2" s="49" t="s">
        <x:v>64</x:v>
      </x:c>
      <x:c r="D2" s="49" t="s">
        <x:v>74</x:v>
      </x:c>
      <x:c r="E2" s="50" t="s">
        <x:v>6</x:v>
      </x:c>
    </x:row>
    <x:row r="3">
      <x:c r="A3" s="51" t="s">
        <x:v>75</x:v>
      </x:c>
      <x:c r="B3" s="52">
        <x:v>4.0</x:v>
      </x:c>
      <x:c r="C3" s="52">
        <x:v>3.0</x:v>
      </x:c>
      <x:c r="D3" s="52">
        <x:v>2.0</x:v>
      </x:c>
      <x:c r="E3" s="52">
        <x:v>0.0</x:v>
      </x:c>
    </x:row>
    <x:row r="4">
      <x:c r="A4" s="51"/>
      <x:c r="B4" s="52"/>
      <x:c r="C4" s="52"/>
      <x:c r="D4" s="52"/>
      <x:c r="E4" s="52"/>
    </x:row>
    <x:row r="5">
      <x:c r="A5" s="51"/>
      <x:c r="B5" s="52"/>
      <x:c r="C5" s="52"/>
      <x:c r="D5" s="52"/>
      <x:c r="E5" s="52"/>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A2"/>
  </x:mergeCells>
  <x:pageMargins left="0.7" right="0.7" top="0.75" bottom="0.75" header="0.3" footer="0.3"/>
</x:worksheet>
</file>