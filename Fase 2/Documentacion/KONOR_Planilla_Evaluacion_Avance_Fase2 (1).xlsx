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7b74b2c35848ff" /></Relationships>
</file>

<file path=xl/workbook.xml><?xml version="1.0" encoding="utf-8"?>
<x:workbook xmlns:x="http://schemas.openxmlformats.org/spreadsheetml/2006/main">
  <x:sheets>
    <x:sheet xmlns:r="http://schemas.openxmlformats.org/officeDocument/2006/relationships" name="EVALUACION2" sheetId="1" r:id="Re857fd35ea8f43ff" state="visible"/>
    <x:sheet xmlns:r="http://schemas.openxmlformats.org/officeDocument/2006/relationships" name="RUBRICA" sheetId="2" r:id="Rf73e3107e8f14240" state="visible"/>
    <x:sheet xmlns:r="http://schemas.openxmlformats.org/officeDocument/2006/relationships" name="ESCALA_IEP" sheetId="3" r:id="Reb4b9c77ba59498c" state="hidden"/>
    <x:sheet xmlns:r="http://schemas.openxmlformats.org/officeDocument/2006/relationships" name="ESCALA_PRESENTACION" sheetId="4" r:id="R0b7fe8b2d8c34d8d" state="hidden"/>
    <x:sheet xmlns:r="http://schemas.openxmlformats.org/officeDocument/2006/relationships" name="ESCALA_TRAB_EQUIP" sheetId="5" r:id="R4e7234052e724a21" state="hidden"/>
    <x:sheet xmlns:r="http://schemas.openxmlformats.org/officeDocument/2006/relationships" name="RELEVANCIA-PUNTAJE" sheetId="6" r:id="Rd97fbf9f6e834a51" state="hidden"/>
  </x:sheets>
  <x:definedNames>
    <x:definedName name="MR_PL">'RELEVANCIA-PUNTAJE'!#REF!</x:definedName>
    <x:definedName name="PL">'RELEVANCIA-PUNTAJE'!#REF!</x:definedName>
    <x:definedName name="PR_PL">'RELEVANCIA-PUNTAJE'!#REF!</x:definedName>
    <x:definedName name="RE_PL">'RELEVANCIA-PUNTAJE'!#REF!</x:definedName>
    <x:definedName name="RE_NL">'RELEVANCIA-PUNTAJE'!$E$4</x:definedName>
    <x:definedName name="PR_ML">'RELEVANCIA-PUNTAJE'!$D$5</x:definedName>
    <x:definedName name="MR">'RELEVANCIA-PUNTAJE'!$A$3</x:definedName>
    <x:definedName name="TL">'RELEVANCIA-PUNTAJE'!$B$2</x:definedName>
    <x:definedName name="PR_TL">'RELEVANCIA-PUNTAJE'!$B$5</x:definedName>
    <x:definedName name="CL">'RELEVANCIA-PUNTAJE'!$B$2</x:definedName>
    <x:definedName name="RE_TL">'RELEVANCIA-PUNTAJE'!$B$4</x:definedName>
    <x:definedName name="MR_CL">'RELEVANCIA-PUNTAJE'!$B$3</x:definedName>
    <x:definedName name="RE">'RELEVANCIA-PUNTAJE'!$A$4</x:definedName>
    <x:definedName name="PR_NL">'RELEVANCIA-PUNTAJE'!$E$5</x:definedName>
    <x:definedName name="MR_L">'RELEVANCIA-PUNTAJE'!$C$3</x:definedName>
    <x:definedName name="ML">'RELEVANCIA-PUNTAJE'!$D$2</x:definedName>
    <x:definedName name="MR_TL">'RELEVANCIA-PUNTAJE'!$B$3</x:definedName>
    <x:definedName name="PR">'RELEVANCIA-PUNTAJE'!$A$5</x:definedName>
    <x:definedName name="NL">'RELEVANCIA-PUNTAJE'!$E$2</x:definedName>
    <x:definedName name="MR_NL">'RELEVANCIA-PUNTAJE'!$E$3</x:definedName>
    <x:definedName name="RE_ML">'RELEVANCIA-PUNTAJE'!$D$4</x:definedName>
    <x:definedName name="L">'RELEVANCIA-PUNTAJE'!$C$2</x:definedName>
    <x:definedName name="MR_ML">'RELEVANCIA-PUNTAJE'!$D$3</x:definedName>
  </x:definedNames>
</x:workbook>
</file>

<file path=xl/sharedStrings.xml><?xml version="1.0" encoding="utf-8"?>
<x:sst xmlns:x="http://schemas.openxmlformats.org/spreadsheetml/2006/main">
  <x:si>
    <x:t xml:space="preserve">INTEGRANTES</x:t>
  </x:si>
  <x:si>
    <x:t xml:space="preserve">GRUPAL</x:t>
  </x:si>
  <x:si>
    <x:t xml:space="preserve">Nivel de Logro</x:t>
  </x:si>
  <x:si>
    <x:t xml:space="preserve">NIVELES DE LOGRO Y PUNTAJES</x:t>
  </x:si>
  <x:si>
    <x:t xml:space="preserve">Aspectos a Evaluar</x:t>
  </x:si>
  <x:si>
    <x:t xml:space="preserve">Completamente logrado</x:t>
  </x:si>
  <x:si>
    <x:t xml:space="preserve">Logrado</x:t>
  </x:si>
  <x:si>
    <x:t xml:space="preserve">Logro Incipiente</x:t>
  </x:si>
  <x:si>
    <x:t xml:space="preserve">No logrado</x:t>
  </x:si>
  <x:si>
    <x:t xml:space="preserve">Puntaje</x:t>
  </x:si>
  <x:si>
    <x:t xml:space="preserve">Nota</x:t>
  </x:si>
  <x:si>
    <x:t xml:space="preserve">Indicador de Evaluación</x:t>
  </x:si>
  <x:si>
    <x:t xml:space="preserve">Categorías de Respuesta</x:t>
  </x:si>
  <x:si>
    <x:t xml:space="preserve">Ponderación del Indicador de Evaluación</x:t>
  </x:si>
  <x:si>
    <x:r>
      <x:rPr>
        <x:b/>
        <x:sz val="11"/>
        <x:color rgb="FFFFFFFF"/>
        <x:rFont val="Calibri"/>
      </x:rPr>
      <x:t xml:space="preserve">Completamente Logrado</x:t>
    </x:r>
    <x:r>
      <x:rPr>
        <x:b/>
        <x:sz val="10"/>
        <x:color rgb="FFFFFFFF"/>
        <x:rFont val="Calibri"/>
      </x:rPr>
      <x:t xml:space="preserve">  (100%)</x:t>
    </x:r>
  </x:si>
  <x:si>
    <x:r>
      <x:rPr>
        <x:b/>
        <x:sz val="11"/>
        <x:color rgb="FFFFFFFF"/>
        <x:rFont val="Calibri"/>
      </x:rPr>
      <x:t xml:space="preserve">Logrado</x:t>
    </x:r>
    <x:r>
      <x:rPr>
        <x:b/>
        <x:sz val="10"/>
        <x:color rgb="FFFFFFFF"/>
        <x:rFont val="Calibri"/>
      </x:rPr>
      <x:t xml:space="preserve">  (60%)</x:t>
    </x:r>
  </x:si>
  <x:si>
    <x:t xml:space="preserve">Logro incipiente </x:t>
  </x:si>
  <x:si>
    <x:t xml:space="preserve">1. Propone ajustes al Proyecto APT considerando dificultades, facilitadores y retroalimentación. </x:t>
  </x:si>
  <x:si>
    <x:t xml:space="preserve">Señala los ajustes que realizó o realizará y los justifica considerando las dificultades, facilitadores y retroalimentación del docente.</x:t>
  </x:si>
  <x:si>
    <x:t xml:space="preserve">Señala algunos de los ajustes que realizó o realizará y los justifica considerando las dificultades, facilitadores o retroalimentación del docente.</x:t>
  </x:si>
  <x:si>
    <x:t xml:space="preserve">Señala los ajustes que realizó o realizará, pero no los justifica.</x:t>
  </x:si>
  <x:si>
    <x:t xml:space="preserve">No incluye ajustes ni justifica por qué mantiene su plan inicial.</x:t>
  </x:si>
  <x:si>
    <x:t xml:space="preserve">2. Aplica una metodología que permite el logro de los objetivos propuestos, de acuerdo a los estándares de la disciplina.</x:t>
  </x:si>
  <x:si>
    <x:t xml:space="preserve">Aplica la metodología definida por el equipo de acuerdo a los estándares de la disciplina, alcanzando los objetivos propuestos para el avance del proyecto. </x:t>
  </x:si>
  <x:si>
    <x:t xml:space="preserve">Aplica la metodología definida de acuerdo a los estándares de la disciplina, pero no se observa el cumplimiento de objetivos propuestos para el avance del proyecto. </x:t>
  </x:si>
  <x:si>
    <x:t xml:space="preserve">Aplica la metodología definida cumpliendo parcialmente con los estándares de la disciplina y con los objetivos propuestos para el avance del proyecto. </x:t>
  </x:si>
  <x:si>
    <x:t xml:space="preserve">Aplica la metodología definida sin cumplir los estándares de la disciplina ni los objetivos propuestos para el avance del proyecto. </x:t>
  </x:si>
  <x:si>
    <x:t xml:space="preserve">3. Genera evidencias que dan cuenta del avance del Proyecto APT en relación a documentación, programación y almacenamiento de datos , de acuerdo a lo planificado por el equipo y que cumpla con estándares de desarrollo de la industria</x:t>
  </x:si>
  <x:si>
    <x:t xml:space="preserve">Presenta evidencias de avance que cumplen con lo planificado por el equipo en relación a documentación, programación y almacenamiento de datos, entregando evidencias que cumplan con estándares de desarrollo que actualmente se encuentran presentes en la industria</x:t>
  </x:si>
  <x:si>
    <x: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x:t>
  </x:si>
  <x:si>
    <x:t xml:space="preserve">Presenta evidencias de avance que cumplen con lo planificado por el equipo en relación a documentación, programación y almacenamiento de datos, entregando evidencias que no cumplen con estándares de desarrollo que actualmente se encuentran presentes en la industria</x:t>
  </x:si>
  <x:si>
    <x:t xml:space="preserve">Presenta evidencias de avance sin cumplir con lo planificado por el equipo en relación a documentación, programación y almacenamiento de datos y las evidencias no cumplen con estándares de desarrollo que actualmente se encuentran presentes en la industria</x:t>
  </x:si>
  <x:si>
    <x:t xml:space="preserve">4. Utiliza de manera precisa el lenguaje técnico en los entregables de acuerdo con lo requerido por la disciplina.</x:t>
  </x:si>
  <x:si>
    <x:t xml:space="preserve">Utiliza lenguaje técnico de su disciplina en todos los entregables de avance del proyecto. </x:t>
  </x:si>
  <x:si>
    <x:t xml:space="preserve">Utiliza lenguaje técnico de su disciplina en la mayoría de los entregables de avance del proyecto</x:t>
  </x:si>
  <x:si>
    <x:t xml:space="preserve">Utiliza lenguaje técnico de su disciplina en la menos de la mitad de los entregables de avance del proyecto</x:t>
  </x:si>
  <x:si>
    <x:t xml:space="preserve">No utiliza lenguaje técnico de su disciplina en los entregables de avance del proyecto. </x:t>
  </x:si>
  <x:si>
    <x:t xml:space="preserve">5. Utiliza reglas de redacción, ortografía (literal, puntual, acentual) y las normas para citas y referencias. </x:t>
  </x:si>
  <x:si>
    <x:t xml:space="preserve">El texto cumple con las reglas ortografía y de redacción en todos sus apartados y utiliza correctamente todas las normas de citación y referencias.</x:t>
  </x:si>
  <x:si>
    <x:t xml:space="preserve">El texto presenta de 1 a 5 errores de ortografía, redacción o en las citas y referencias del informe.</x:t>
  </x:si>
  <x:si>
    <x:t xml:space="preserve">El texto presenta de 6 a 10 errores de ortografía, redacción o en las citas y referencias del informe.</x:t>
  </x:si>
  <x:si>
    <x:t xml:space="preserve">El texto presenta más de 10 errores de ortografía, redacción o en las citas y referencias del informe.</x:t>
  </x:si>
  <x:si>
    <x:t xml:space="preserve">6. Entrega la documentación y evidencias requerida por la asignatura de acuerdo a la estrucutra y nombres solicitados, guardando todas las evidencias de avances en Git</x:t>
  </x:si>
  <x:si>
    <x:t xml:space="preserve">Entrega la documentación y evidencias requeridas por la asignatura de acuerdo a la estrucutra y nombres solicitados, guardando todas las evidencias de avances en Git</x:t>
  </x:si>
  <x:si>
    <x:t xml:space="preserve">Entrega la documentación y evidencias requeridas por la asignatura de acuerdo a la estrucutra y nombres solicitados, guardando algunas de las evidencias de avances en Git</x:t>
  </x:si>
  <x:si>
    <x:t xml:space="preserve">Entrega la documentación y evidencias requeridas por la asignatura sin una la estrucutra y nombres solicitados, guardando algunas de las evidencias de avances en Git</x:t>
  </x:si>
  <x:si>
    <x:t xml:space="preserve">No entrega a través de Git la documentación y evidencias de avance requeridas por la asignatura</x:t>
  </x:si>
  <x:si>
    <x:t xml:space="preserve">7.- Generan evidencias claras dentro del repositorio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</x:si>
  <x:si>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</x:si>
  <x:si>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pero la evidencia no demuestra una equidad en la participación de cada estudiante</x:t>
  </x:si>
  <x:si>
    <x:t xml:space="preserve">Generan evidencias dentro del repositorio  del proyecto del aporte de cada uno de los integrantes del equipo pero la evidencia no demuestra la participación de algunos(s) participante(s) del equipo</x:t>
  </x:si>
  <x:si>
    <x:t xml:space="preserve">No generan evidencias dentro del repositorio  del proyecto del aporte de cada uno de los integrantes del equipo por lo que no se permite identificar la equidad en el trabajo y la participación de cada estudiante</x:t>
  </x:si>
  <x:si>
    <x:t xml:space="preserve">8. Demuestra un trabajo en equipo en donde todos los miembros del equipo expresan con fluidez el conocimiento del tema expuesto y  participan de las actividades planificadas en el proyecto</x:t>
  </x:si>
  <x:si>
    <x:t xml:space="preserve">Demuestra un trabajo en equipo en donde todos los miembros del equipo expresan con fluidez el conocimiento del tema expuesto y  participan de las actividades planificadas en el proyecto</x:t>
  </x:si>
  <x:si>
    <x:t xml:space="preserve">Demuestra un trabajo en equipo de manera parcial, en donde todos los miembros del equipo expresan con fluidez el conocimiento del tema expuesto, pero no todos participan de manera equitativa de las actividades planificadas en el proyecto</x:t>
  </x:si>
  <x:si>
    <x:t xml:space="preserve">Demuestra de manera deficiente el trabajo en equipo en donde los integrantes expresan con poca fluidez y de manera imparcial el conocimiento del tema expuesto y no todos sus miembros participan de manera equitativa de las actividades planificadas en el proyecto</x:t>
  </x:si>
  <x:si>
    <x:t xml:space="preserve">No demuestran un trabajo en equipo, evidenciando en su presentación la nula colaboración de alguno de sus integrantes. </x:t>
  </x:si>
  <x:si>
    <x:t xml:space="preserve">PUNTOS</x:t>
  </x:si>
  <x:si>
    <x:t xml:space="preserve">NOTA</x:t>
  </x:si>
  <x:si>
    <x:t xml:space="preserve">Relevancia</x:t>
  </x:si>
  <x:si>
    <x:t xml:space="preserve">Logro incipiente</x:t>
  </x:si>
  <x:si>
    <x:t xml:space="preserve">Muy Relevante</x:t>
  </x:si>
</x:sst>
</file>

<file path=xl/styles.xml><?xml version="1.0" encoding="utf-8"?>
<x:styleSheet xmlns:x="http://schemas.openxmlformats.org/spreadsheetml/2006/main">
  <x:numFmts count="1">
    <x:numFmt numFmtId="164" formatCode="0.0"/>
  </x:numFmts>
  <x:fonts count="21">
    <x:font>
      <x:sz val="11"/>
      <x:color rgb="FF000000"/>
      <x:name val="Calibri"/>
      <x:scheme val="minor"/>
    </x:font>
    <x:font>
      <x:color theme="1"/>
      <x:name val="Calibri"/>
      <x:scheme val="minor"/>
    </x:font>
    <x:font>
      <x:sz val="11"/>
      <x:color rgb="FF000000"/>
      <x:name val="Calibri"/>
    </x:font>
    <x:font>
      <x:b/>
      <x:sz val="10"/>
      <x:color rgb="FFFFFFFF"/>
      <x:name val="Calibri"/>
    </x:font>
    <x:font>
      <x:b/>
      <x:sz val="11"/>
      <x:color rgb="FF000000"/>
      <x:name val="Calibri"/>
    </x:font>
    <x:font/>
    <x:font>
      <x:b/>
      <x:sz val="11"/>
      <x:color rgb="FFFFFFFF"/>
      <x:name val="Calibri"/>
    </x:font>
    <x:font>
      <x:sz val="10"/>
      <x:color rgb="FF000000"/>
      <x:name val="Calibri"/>
    </x:font>
    <x:font>
      <x:b/>
      <x:sz val="10"/>
      <x:color rgb="FF3B3838"/>
      <x:name val="Calibri"/>
    </x:font>
    <x:font>
      <x:sz val="10"/>
      <x:color theme="1"/>
      <x:name val="Calibri"/>
    </x:font>
    <x:font>
      <x:b/>
      <x:sz val="10"/>
      <x:color rgb="FF000000"/>
      <x:name val="Calibri"/>
    </x:font>
    <x:font>
      <x:sz val="20"/>
      <x:color rgb="FF000000"/>
      <x:name val="Calibri"/>
    </x:font>
    <x:font>
      <x:b/>
      <x:sz val="14"/>
      <x:color rgb="FF000000"/>
      <x:name val="Calibri"/>
    </x:font>
    <x:font>
      <x:sz val="9"/>
      <x:color rgb="FF000000"/>
      <x:name val="Calibri"/>
    </x:font>
    <x:font>
      <x:sz val="14"/>
      <x:color rgb="FF000000"/>
      <x:name val="Calibri"/>
    </x:font>
    <x:font>
      <x:sz val="10"/>
      <x:color rgb="FF000000"/>
      <x:name val="Arial"/>
      <x:scheme val="minor"/>
    </x:font>
    <x:font>
      <x:b/>
      <x:sz val="11"/>
      <x:color rgb="FF000000"/>
      <x:name val="Arial"/>
    </x:font>
    <x:font>
      <x:b/>
      <x:sz val="11"/>
      <x:color rgb="FF000000"/>
      <x:name val="Arial"/>
      <x:scheme val="minor"/>
    </x:font>
    <x:font>
      <x:sz val="10"/>
      <x:color rgb="FF000000"/>
      <x:name val="Arial"/>
    </x:font>
    <x:font>
      <x:b/>
      <x:sz val="10"/>
      <x:color rgb="FF000000"/>
      <x:name val="Arial"/>
    </x:font>
    <x:font>
      <x:b/>
      <x:sz val="10"/>
      <x:color rgb="FF000000"/>
      <x:name val="Arial"/>
      <x:scheme val="minor"/>
    </x:font>
  </x:fonts>
  <x:fills count="8">
    <x:fill>
      <x:patternFill patternType="none"/>
    </x:fill>
    <x:fill>
      <x:patternFill patternType="lightGray"/>
    </x:fill>
    <x:fill>
      <x:patternFill patternType="solid">
        <x:fgColor rgb="FFECECEC"/>
      </x:patternFill>
    </x:fill>
    <x:fill>
      <x:patternFill patternType="solid">
        <x:fgColor rgb="FF262626"/>
      </x:patternFill>
    </x:fill>
    <x:fill>
      <x:patternFill patternType="solid">
        <x:fgColor rgb="FFFEF2CB"/>
      </x:patternFill>
    </x:fill>
    <x:fill>
      <x:patternFill patternType="solid">
        <x:fgColor rgb="FFD9D9D9"/>
      </x:patternFill>
    </x:fill>
    <x:fill>
      <x:patternFill patternType="solid">
        <x:fgColor rgb="FFD8D8D8"/>
      </x:patternFill>
    </x:fill>
    <x:fill>
      <x:patternFill patternType="solid">
        <x:fgColor rgb="FFD9D9D9"/>
      </x:patternFill>
    </x:fill>
  </x:fills>
  <x:borders count="29">
    <x:border/>
    <x:border>
      <x:left style="thin">
        <x:color rgb="FF000000"/>
      </x:left>
      <x:right style="thin">
        <x:color rgb="FF000000"/>
      </x:right>
      <x:top style="thin">
        <x:color rgb="FF000000"/>
      </x:top>
      <x:bottom style="thin">
        <x:color rgb="FF000000"/>
      </x:bottom>
    </x:border>
    <x:border>
      <x:left style="medium">
        <x:color rgb="FF7F7F7F"/>
      </x:left>
      <x:right style="medium">
        <x:color rgb="FF7F7F7F"/>
      </x:right>
      <x:top style="medium">
        <x:color rgb="FF7F7F7F"/>
      </x:top>
    </x:border>
    <x:border>
      <x:left style="medium">
        <x:color rgb="FF7F7F7F"/>
      </x:left>
      <x:top style="medium">
        <x:color rgb="FF7F7F7F"/>
      </x:top>
      <x:bottom style="medium">
        <x:color rgb="FF7F7F7F"/>
      </x:bottom>
    </x:border>
    <x:border>
      <x:top style="medium">
        <x:color rgb="FF7F7F7F"/>
      </x:top>
      <x:bottom style="medium">
        <x:color rgb="FF7F7F7F"/>
      </x:bottom>
    </x:border>
    <x:border>
      <x:right style="medium">
        <x:color rgb="FF7F7F7F"/>
      </x:right>
      <x:top style="medium">
        <x:color rgb="FF7F7F7F"/>
      </x:top>
      <x:bottom style="medium">
        <x:color rgb="FF7F7F7F"/>
      </x:bottom>
    </x:border>
    <x:border>
      <x:left style="medium">
        <x:color rgb="FF7F7F7F"/>
      </x:left>
      <x:right style="medium">
        <x:color rgb="FF7F7F7F"/>
      </x:right>
    </x:border>
    <x:border>
      <x:left style="thin">
        <x:color rgb="FF000000"/>
      </x:left>
      <x:top style="thin">
        <x:color rgb="FF000000"/>
      </x:top>
      <x:bottom style="thin">
        <x:color rgb="FF000000"/>
      </x:bottom>
    </x:border>
    <x:border>
      <x:left/>
      <x:right style="medium">
        <x:color rgb="FF7F7F7F"/>
      </x:right>
      <x:top/>
      <x:bottom/>
    </x:border>
    <x:border>
      <x:left style="medium">
        <x:color rgb="FF7F7F7F"/>
      </x:left>
      <x:right style="medium">
        <x:color rgb="FF7F7F7F"/>
      </x:right>
      <x:bottom/>
    </x:border>
    <x:border>
      <x:left style="medium">
        <x:color rgb="FF7F7F7F"/>
      </x:left>
      <x:right style="medium">
        <x:color rgb="FF7F7F7F"/>
      </x:right>
      <x:bottom style="medium">
        <x:color rgb="FF7F7F7F"/>
      </x:bottom>
    </x:border>
    <x:border>
      <x:right style="medium">
        <x:color rgb="FF7F7F7F"/>
      </x:right>
      <x:bottom style="medium">
        <x:color rgb="FF7F7F7F"/>
      </x:bottom>
    </x:border>
    <x:border>
      <x:right style="medium">
        <x:color rgb="FF7F7F7F"/>
      </x:right>
      <x:top style="medium">
        <x:color rgb="FF7F7F7F"/>
      </x:top>
      <x:bottom style="thin">
        <x:color rgb="FF000000"/>
      </x:bottom>
    </x:border>
    <x:border>
      <x:left style="thin">
        <x:color rgb="FF000000"/>
      </x:left>
      <x:right style="thin">
        <x:color rgb="FF000000"/>
      </x:right>
      <x:top style="thin">
        <x:color rgb="FF000000"/>
      </x:top>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top style="thin">
        <x:color rgb="FF000000"/>
      </x:top>
      <x:bottom/>
    </x:border>
    <x:border>
      <x:left style="thin">
        <x:color rgb="FF000000"/>
      </x:left>
      <x:right style="thin">
        <x:color rgb="FF000000"/>
      </x:right>
      <x:bottom style="thin">
        <x:color rgb="FF000000"/>
      </x:bottom>
    </x:border>
    <x:border>
      <x:left style="medium">
        <x:color rgb="FF000000"/>
      </x:left>
      <x:right style="medium">
        <x:color rgb="FF000000"/>
      </x:right>
      <x:top style="medium">
        <x:color rgb="FF000000"/>
      </x:top>
    </x:border>
    <x:border>
      <x:left style="medium">
        <x:color rgb="FF000000"/>
      </x:left>
      <x:right/>
      <x:top style="medium">
        <x:color rgb="FF000000"/>
      </x:top>
      <x:bottom/>
    </x:border>
    <x:border>
      <x:left/>
      <x:right/>
      <x:top style="medium">
        <x:color rgb="FF000000"/>
      </x:top>
      <x:bottom/>
    </x:border>
    <x:border>
      <x:left/>
      <x:right style="medium">
        <x:color rgb="FF000000"/>
      </x:right>
      <x:top style="medium">
        <x:color rgb="FF000000"/>
      </x:top>
      <x:bottom/>
    </x:border>
    <x:border>
      <x:left style="medium">
        <x:color rgb="FF000000"/>
      </x:left>
      <x:right style="medium">
        <x:color rgb="FF000000"/>
      </x:right>
      <x:bottom style="medium">
        <x:color rgb="FF000000"/>
      </x:bottom>
    </x:border>
    <x:border>
      <x:left style="medium">
        <x:color rgb="FF000000"/>
      </x:left>
      <x:right/>
      <x:top/>
      <x:bottom style="medium">
        <x:color rgb="FF000000"/>
      </x:bottom>
    </x:border>
    <x:border>
      <x:left/>
      <x:right/>
      <x:top/>
      <x:bottom style="medium">
        <x:color rgb="FF000000"/>
      </x:bottom>
    </x:border>
    <x:border>
      <x:left/>
      <x:right style="medium">
        <x:color rgb="FF000000"/>
      </x:right>
      <x:top/>
      <x:bottom style="medium">
        <x:color rgb="FF000000"/>
      </x:bottom>
    </x:border>
    <x:border>
      <x:right style="medium">
        <x:color rgb="FF000000"/>
      </x:right>
      <x:bottom style="medium">
        <x:color rgb="FF000000"/>
      </x:bottom>
    </x:border>
    <x:border>
      <x:left style="thin">
        <x:color rgb="FFB7B7B7"/>
      </x:left>
      <x:right style="thin">
        <x:color rgb="FFB7B7B7"/>
      </x:right>
      <x:top style="thin">
        <x:color rgb="FFB7B7B7"/>
      </x:top>
      <x:bottom style="thin">
        <x:color rgb="FFB7B7B7"/>
      </x:bottom>
    </x:border>
  </x:borders>
  <x:cellStyleXfs count="1">
    <x:xf numFmtId="0" fontId="0" fillId="0" borderId="0" applyFont="1" applyAlignment="1"/>
  </x:cellStyleXfs>
  <x:cellXfs count="76">
    <x:xf numFmtId="0" fontId="0" fillId="0" borderId="0" xfId="0" applyFont="1" applyAlignment="1">
      <x:alignment vertical="bottom" wrapText="0" shrinkToFit="0"/>
    </x:xf>
    <x:xf numFmtId="0" fontId="1" fillId="0" borderId="0" xfId="0" applyFont="1"/>
    <x:xf numFmtId="164" fontId="2" fillId="0" borderId="0" xfId="0" applyNumberFormat="1" applyFont="1"/>
    <x:xf numFmtId="9" fontId="2" fillId="2" borderId="1" xfId="0" applyNumberFormat="1" applyFont="1" applyFill="1" applyBorder="1" applyAlignment="1">
      <x:alignment horizontal="center" vertical="center" wrapText="1" shrinkToFit="0"/>
    </x:xf>
    <x:xf numFmtId="0" fontId="3" fillId="3" borderId="2" xfId="0" applyFont="1" applyFill="1" applyBorder="1" applyAlignment="1">
      <x:alignment horizontal="center" vertical="center" wrapText="1" shrinkToFit="0"/>
    </x:xf>
    <x:xf numFmtId="0" fontId="4" fillId="0" borderId="0" xfId="0" applyFont="1"/>
    <x:xf numFmtId="0" fontId="3" fillId="3" borderId="3" xfId="0" applyFont="1" applyFill="1" applyBorder="1" applyAlignment="1">
      <x:alignment horizontal="center" vertical="center" wrapText="1" shrinkToFit="0"/>
    </x:xf>
    <x:xf numFmtId="0" fontId="5" fillId="0" borderId="4" xfId="0" applyFont="1" applyBorder="1"/>
    <x:xf numFmtId="0" fontId="2" fillId="2" borderId="1" xfId="0" applyFont="1" applyFill="1" applyBorder="1" applyAlignment="1">
      <x:alignment horizontal="center" vertical="center" wrapText="1" shrinkToFit="0"/>
    </x:xf>
    <x:xf numFmtId="0" fontId="5" fillId="0" borderId="5" xfId="0" applyFont="1" applyBorder="1"/>
    <x:xf numFmtId="0" fontId="2" fillId="0" borderId="0" xfId="0" applyFont="1" applyAlignment="1">
      <x:alignment horizontal="right" vertical="center"/>
    </x:xf>
    <x:xf numFmtId="0" fontId="5" fillId="0" borderId="6" xfId="0" applyFont="1" applyBorder="1"/>
    <x:xf numFmtId="0" fontId="2" fillId="0" borderId="7" xfId="0" applyFont="1" applyBorder="1" applyAlignment="1">
      <x:alignment horizontal="left"/>
    </x:xf>
    <x:xf numFmtId="0" fontId="6" fillId="3" borderId="2" xfId="0" applyFont="1" applyFill="1" applyBorder="1" applyAlignment="1">
      <x:alignment horizontal="center" vertical="center" wrapText="1" shrinkToFit="0"/>
    </x:xf>
    <x:xf numFmtId="0" fontId="6" fillId="3" borderId="8" xfId="0" applyFont="1" applyFill="1" applyBorder="1" applyAlignment="1">
      <x:alignment horizontal="center" vertical="center" wrapText="1" shrinkToFit="0"/>
    </x:xf>
    <x:xf numFmtId="0" fontId="3" fillId="3" borderId="8" xfId="0" applyFont="1" applyFill="1" applyBorder="1" applyAlignment="1">
      <x:alignment horizontal="center" vertical="center" wrapText="1" shrinkToFit="0"/>
    </x:xf>
    <x:xf numFmtId="0" fontId="5" fillId="0" borderId="9" xfId="0" applyFont="1" applyBorder="1"/>
    <x:xf numFmtId="9" fontId="3" fillId="3" borderId="8" xfId="0" applyNumberFormat="1" applyFont="1" applyFill="1" applyBorder="1" applyAlignment="1">
      <x:alignment horizontal="center" vertical="center" wrapText="1" shrinkToFit="0"/>
    </x:xf>
    <x:xf numFmtId="0" fontId="5" fillId="0" borderId="10" xfId="0" applyFont="1" applyBorder="1"/>
    <x:xf numFmtId="0" fontId="7" fillId="0" borderId="1" xfId="0" applyFont="1" applyBorder="1" applyAlignment="1">
      <x:alignment horizontal="left" vertical="center" wrapText="1" shrinkToFit="0"/>
    </x:xf>
    <x:xf numFmtId="0" fontId="8" fillId="0" borderId="11" xfId="0" applyFont="1" applyBorder="1" applyAlignment="1">
      <x:alignment horizontal="center" vertical="center" wrapText="1" shrinkToFit="0"/>
    </x:xf>
    <x:xf numFmtId="164" fontId="2" fillId="2" borderId="1" xfId="0" applyNumberFormat="1" applyFont="1" applyFill="1" applyBorder="1" applyAlignment="1">
      <x:alignment horizontal="center"/>
    </x:xf>
    <x:xf numFmtId="0" fontId="8" fillId="0" borderId="12" xfId="0" applyFont="1" applyBorder="1" applyAlignment="1">
      <x:alignment horizontal="center" vertical="center" wrapText="1" shrinkToFit="0"/>
    </x:xf>
    <x:xf numFmtId="0" fontId="9" fillId="0" borderId="1" xfId="0" applyFont="1" applyBorder="1" applyAlignment="1">
      <x:alignment horizontal="left" vertical="center" wrapText="1" shrinkToFit="0"/>
    </x:xf>
    <x:xf numFmtId="0" fontId="10" fillId="0" borderId="11" xfId="0" applyFont="1" applyBorder="1" applyAlignment="1">
      <x:alignment horizontal="center" vertical="center" wrapText="1" shrinkToFit="0"/>
    </x:xf>
    <x:xf numFmtId="0" fontId="2" fillId="0" borderId="7" xfId="0" applyFont="1" applyBorder="1" applyAlignment="1">
      <x:alignment horizontal="left"/>
    </x:xf>
    <x:xf numFmtId="0" fontId="10" fillId="0" borderId="12" xfId="0" applyFont="1" applyBorder="1" applyAlignment="1">
      <x:alignment horizontal="center" vertical="center" wrapText="1" shrinkToFit="0"/>
    </x:xf>
    <x:xf numFmtId="0" fontId="11" fillId="4" borderId="13" xfId="0" applyFont="1" applyFill="1" applyBorder="1" applyAlignment="1">
      <x:alignment horizontal="center" vertical="center"/>
    </x:xf>
    <x:xf numFmtId="0" fontId="12" fillId="5" borderId="1" xfId="0" applyFont="1" applyFill="1" applyBorder="1" applyAlignment="1">
      <x:alignment horizontal="center" vertical="center"/>
    </x:xf>
    <x:xf numFmtId="0" fontId="10" fillId="5" borderId="13" xfId="0" applyFont="1" applyFill="1" applyBorder="1" applyAlignment="1">
      <x:alignment horizontal="center" vertical="center"/>
    </x:xf>
    <x:xf numFmtId="0" fontId="10" fillId="5" borderId="7" xfId="0" applyFont="1" applyFill="1" applyBorder="1" applyAlignment="1">
      <x:alignment horizontal="center" vertical="center"/>
    </x:xf>
    <x:xf numFmtId="0" fontId="5" fillId="0" borderId="14" xfId="0" applyFont="1" applyBorder="1"/>
    <x:xf numFmtId="0" fontId="5" fillId="0" borderId="15" xfId="0" applyFont="1" applyBorder="1"/>
    <x:xf numFmtId="0" fontId="5" fillId="0" borderId="16" xfId="0" applyFont="1" applyBorder="1"/>
    <x:xf numFmtId="0" fontId="10" fillId="5" borderId="17" xfId="0" applyFont="1" applyFill="1" applyBorder="1" applyAlignment="1">
      <x:alignment horizontal="center" vertical="center"/>
    </x:xf>
    <x:xf numFmtId="0" fontId="5" fillId="0" borderId="18" xfId="0" applyFont="1" applyBorder="1"/>
    <x:xf numFmtId="0" fontId="13" fillId="0" borderId="1" xfId="0" applyFont="1" applyBorder="1" applyAlignment="1">
      <x:alignment horizontal="left" vertical="center" wrapText="1" shrinkToFit="0"/>
    </x:xf>
    <x:xf numFmtId="0" fontId="7" fillId="0" borderId="15" xfId="0" applyFont="1" applyBorder="1" applyAlignment="1">
      <x:alignment horizontal="left" vertical="center"/>
    </x:xf>
    <x:xf numFmtId="0" fontId="7" fillId="0" borderId="1" xfId="0" applyFont="1" applyBorder="1" applyAlignment="1">
      <x:alignment horizontal="center" vertical="center"/>
    </x:xf>
    <x:xf numFmtId="0" fontId="4" fillId="5" borderId="19" xfId="0" applyFont="1" applyFill="1" applyBorder="1" applyAlignment="1">
      <x:alignment horizontal="left" vertical="center" wrapText="1" shrinkToFit="0"/>
    </x:xf>
    <x:xf numFmtId="0" fontId="4" fillId="5" borderId="20" xfId="0" applyFont="1" applyFill="1" applyBorder="1" applyAlignment="1">
      <x:alignment vertical="center" wrapText="1" shrinkToFit="0"/>
    </x:xf>
    <x:xf numFmtId="0" fontId="4" fillId="5" borderId="21" xfId="0" applyFont="1" applyFill="1" applyBorder="1" applyAlignment="1">
      <x:alignment vertical="center" wrapText="1" shrinkToFit="0"/>
    </x:xf>
    <x:xf numFmtId="0" fontId="4" fillId="5" borderId="22" xfId="0" applyFont="1" applyFill="1" applyBorder="1" applyAlignment="1">
      <x:alignment vertical="center" wrapText="1" shrinkToFit="0"/>
    </x:xf>
    <x:xf numFmtId="0" fontId="5" fillId="0" borderId="23" xfId="0" applyFont="1" applyBorder="1"/>
    <x:xf numFmtId="0" fontId="4" fillId="5" borderId="24" xfId="0" applyFont="1" applyFill="1" applyBorder="1" applyAlignment="1">
      <x:alignment vertical="center" wrapText="1" shrinkToFit="0"/>
    </x:xf>
    <x:xf numFmtId="0" fontId="4" fillId="5" borderId="25" xfId="0" applyFont="1" applyFill="1" applyBorder="1" applyAlignment="1">
      <x:alignment vertical="center" wrapText="1" shrinkToFit="0"/>
    </x:xf>
    <x:xf numFmtId="0" fontId="4" fillId="5" borderId="26" xfId="0" applyFont="1" applyFill="1" applyBorder="1" applyAlignment="1">
      <x:alignment vertical="center" wrapText="1" shrinkToFit="0"/>
    </x:xf>
    <x:xf numFmtId="0" fontId="4" fillId="0" borderId="23" xfId="0" applyFont="1" applyBorder="1" applyAlignment="1">
      <x:alignment horizontal="left" vertical="center" wrapText="1" shrinkToFit="0"/>
    </x:xf>
    <x:xf numFmtId="0" fontId="4" fillId="0" borderId="27" xfId="0" applyFont="1" applyBorder="1" applyAlignment="1">
      <x:alignment horizontal="left" vertical="center" wrapText="1" shrinkToFit="0"/>
    </x:xf>
    <x:xf numFmtId="0" fontId="7" fillId="0" borderId="15" xfId="0" applyFont="1" applyBorder="1" applyAlignment="1">
      <x:alignment horizontal="left" vertical="center"/>
    </x:xf>
    <x:xf numFmtId="0" fontId="13" fillId="0" borderId="18" xfId="0" applyFont="1" applyBorder="1" applyAlignment="1">
      <x:alignment horizontal="right" vertical="center" wrapText="1" shrinkToFit="0"/>
    </x:xf>
    <x:xf numFmtId="0" fontId="14" fillId="0" borderId="13" xfId="0" applyFont="1" applyBorder="1"/>
    <x:xf numFmtId="0" fontId="2" fillId="6" borderId="1" xfId="0" applyFont="1" applyFill="1" applyBorder="1"/>
    <x:xf numFmtId="0" fontId="13" fillId="0" borderId="7" xfId="0" applyFont="1" applyBorder="1" applyAlignment="1">
      <x:alignment horizontal="right" vertical="center" wrapText="1" shrinkToFit="0"/>
    </x:xf>
    <x:xf numFmtId="164" fontId="14" fillId="0" borderId="1" xfId="0" applyNumberFormat="1" applyFont="1" applyBorder="1"/>
    <x:xf numFmtId="0" fontId="2" fillId="0" borderId="0" xfId="0" applyFont="1" applyAlignment="1">
      <x:alignment wrapText="1" shrinkToFit="0"/>
    </x:xf>
    <x:xf numFmtId="0" fontId="13" fillId="0" borderId="0" xfId="0" applyFont="1" applyAlignment="1">
      <x:alignment horizontal="right" vertical="center" wrapText="1" shrinkToFit="0"/>
    </x:xf>
    <x:xf numFmtId="164" fontId="14" fillId="0" borderId="0" xfId="0" applyNumberFormat="1" applyFont="1"/>
    <x:xf numFmtId="0" fontId="13" fillId="0" borderId="0" xfId="0" applyFont="1" applyAlignment="1">
      <x:alignment horizontal="left" vertical="center" wrapText="1" shrinkToFit="0"/>
    </x:xf>
    <x:xf numFmtId="0" fontId="15" fillId="0" borderId="0" xfId="0" applyNumberFormat="1" applyFont="1" applyFill="1" applyBorder="1" applyAlignment="1">
      <x:alignment vertical="bottom" wrapText="0"/>
    </x:xf>
    <x:xf numFmtId="0" fontId="15" fillId="0" borderId="0" xfId="0" applyNumberFormat="1" applyFont="1" applyFill="1" applyBorder="1" applyAlignment="1">
      <x:alignment vertical="bottom" wrapText="1"/>
    </x:xf>
    <x:xf numFmtId="0" fontId="13" fillId="7" borderId="0" xfId="0" applyNumberFormat="1" applyFont="1" applyFill="1" applyBorder="1" applyAlignment="1">
      <x:alignment horizontal="right" vertical="center" wrapText="1"/>
    </x:xf>
    <x:xf numFmtId="164" fontId="14" fillId="7" borderId="0" xfId="0" applyNumberFormat="1" applyFont="1" applyFill="1" applyBorder="1"/>
    <x:xf numFmtId="0" fontId="0" fillId="7" borderId="0" xfId="0" applyNumberFormat="1" applyFont="1" applyFill="1" applyBorder="1" applyAlignment="1">
      <x:alignment vertical="bottom" wrapText="0"/>
    </x:xf>
    <x:xf numFmtId="0" fontId="16" fillId="7" borderId="0" xfId="0" applyNumberFormat="1" applyFont="1" applyFill="1" applyBorder="1" applyAlignment="1">
      <x:alignment horizontal="right" vertical="center" wrapText="1"/>
    </x:xf>
    <x:xf numFmtId="164" fontId="16" fillId="7" borderId="0" xfId="0" applyNumberFormat="1" applyFont="1" applyFill="1" applyBorder="1"/>
    <x:xf numFmtId="0" fontId="17" fillId="7" borderId="0" xfId="0" applyNumberFormat="1" applyFont="1" applyFill="1" applyBorder="1" applyAlignment="1">
      <x:alignment vertical="bottom" wrapText="0"/>
    </x:xf>
    <x:xf numFmtId="164" fontId="16" fillId="7" borderId="0" xfId="0" applyNumberFormat="1" applyFont="1" applyFill="1" applyBorder="1" applyAlignment="1">
      <x:alignment wrapText="1"/>
    </x:xf>
    <x:xf numFmtId="0" fontId="17" fillId="7" borderId="0" xfId="0" applyNumberFormat="1" applyFont="1" applyFill="1" applyBorder="1" applyAlignment="1">
      <x:alignment vertical="bottom" wrapText="1"/>
    </x:xf>
    <x:xf numFmtId="0" fontId="18" fillId="0" borderId="0" xfId="0" applyNumberFormat="1" applyFont="1" applyFill="1" applyBorder="1" applyAlignment="1">
      <x:alignment horizontal="left" vertical="center" wrapText="1"/>
    </x:xf>
    <x:xf numFmtId="0" fontId="18" fillId="0" borderId="28" xfId="0" applyNumberFormat="1" applyFont="1" applyFill="1" applyBorder="1" applyAlignment="1">
      <x:alignment horizontal="left" vertical="center" wrapText="1"/>
    </x:xf>
    <x:xf numFmtId="0" fontId="15" fillId="0" borderId="28" xfId="0" applyNumberFormat="1" applyFont="1" applyFill="1" applyBorder="1" applyAlignment="1">
      <x:alignment vertical="bottom" wrapText="0"/>
    </x:xf>
    <x:xf numFmtId="0" fontId="15" fillId="0" borderId="28" xfId="0" applyNumberFormat="1" applyFont="1" applyFill="1" applyBorder="1" applyAlignment="1">
      <x:alignment vertical="bottom" wrapText="1"/>
    </x:xf>
    <x:xf numFmtId="0" fontId="15" fillId="0" borderId="28" xfId="0" applyNumberFormat="1" applyFont="1" applyFill="1" applyBorder="1" applyAlignment="1">
      <x:alignment vertical="center" wrapText="1"/>
    </x:xf>
    <x:xf numFmtId="0" fontId="19" fillId="0" borderId="28" xfId="0" applyNumberFormat="1" applyFont="1" applyFill="1" applyBorder="1" applyAlignment="1">
      <x:alignment horizontal="left" vertical="center" wrapText="1"/>
    </x:xf>
    <x:xf numFmtId="0" fontId="20" fillId="0" borderId="28" xfId="0" applyNumberFormat="1" applyFont="1" applyFill="1" applyBorder="1" applyAlignment="1">
      <x:alignment vertical="center" wrapText="1"/>
    </x:xf>
  </x:cellXfs>
  <x:cellStyles count="1">
    <x:cellStyle name="Normal" xfId="0"/>
  </x:cellStyles>
  <x:dxfs count="1">
    <x:dxf>
      <x:font>
        <x:color rgb="FF9C0006"/>
      </x:font>
      <x:fill>
        <x:patternFill patternType="none"/>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bcc8522a614433f" /><Relationship Type="http://schemas.openxmlformats.org/officeDocument/2006/relationships/theme" Target="/xl/theme/theme1.xml" Id="R5af58fcf060344a1" /><Relationship Type="http://schemas.openxmlformats.org/officeDocument/2006/relationships/sharedStrings" Target="/xl/sharedStrings.xml" Id="R2d75e6dac49d4679" /><Relationship Type="http://schemas.openxmlformats.org/officeDocument/2006/relationships/worksheet" Target="/xl/worksheets/sheet1.xml" Id="Re857fd35ea8f43ff" /><Relationship Type="http://schemas.openxmlformats.org/officeDocument/2006/relationships/worksheet" Target="/xl/worksheets/sheet2.xml" Id="Rf73e3107e8f14240" /><Relationship Type="http://schemas.openxmlformats.org/officeDocument/2006/relationships/worksheet" Target="/xl/worksheets/sheet3.xml" Id="Reb4b9c77ba59498c" /><Relationship Type="http://schemas.openxmlformats.org/officeDocument/2006/relationships/worksheet" Target="/xl/worksheets/sheet4.xml" Id="R0b7fe8b2d8c34d8d" /><Relationship Type="http://schemas.openxmlformats.org/officeDocument/2006/relationships/worksheet" Target="/xl/worksheets/sheet5.xml" Id="R4e7234052e724a21" /><Relationship Type="http://schemas.openxmlformats.org/officeDocument/2006/relationships/worksheet" Target="/xl/worksheets/sheet6.xml" Id="Rd97fbf9f6e834a5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10.710000038146973" customWidth="1"/>
    <x:col min="2" max="2" width="66.86000061035156" customWidth="1"/>
    <x:col min="3" max="3" width="22" customWidth="1"/>
    <x:col min="4" max="4" width="11.289999961853027" customWidth="1"/>
    <x:col min="5" max="7" width="11.710000038146973" customWidth="1"/>
    <x:col min="8" max="8" width="7.710000038146973" customWidth="1"/>
    <x:col min="9" max="9" width="11.710000038146973" customWidth="1"/>
    <x:col min="10" max="10" width="7.710000038146973" customWidth="1"/>
    <x:col min="11" max="11" width="11.710000038146973" customWidth="1"/>
  </x:cols>
  <x:sheetData>
    <x:row r="2">
      <x:c r="C2" s="3">
        <x:v>1.0</x:v>
      </x:c>
    </x:row>
    <x:row r="3">
      <x:c r="B3" s="5" t="s">
        <x:v>0</x:v>
      </x:c>
      <x:c r="C3" s="8" t="s">
        <x:v>1</x:v>
      </x:c>
    </x:row>
    <x:row r="4">
      <x:c r="A4" s="10">
        <x:v>1.0</x:v>
      </x:c>
      <x:c r="B4" s="12" t="str">
        <x:v>Danitza Arias Garrido</x:v>
      </x:c>
      <x:c r="C4" s="21" t="str">
        <x:f>IF($C$22="","",$C$22)</x:f>
      </x:c>
      <x:c r="G4" s="2"/>
    </x:row>
    <x:row r="5">
      <x:c r="A5" s="10">
        <x:v>2.0</x:v>
      </x:c>
      <x:c r="B5" s="12" t="str">
        <x:v>Catalina Benítez Bravo</x:v>
      </x:c>
      <x:c r="C5" s="21" t="str">
        <x:f>IF($C$22="","",$C$22)</x:f>
      </x:c>
      <x:c r="G5" s="2"/>
    </x:row>
    <x:row r="6">
      <x:c r="A6" s="10"/>
      <x:c r="B6" s="25"/>
      <x:c r="C6" s="21"/>
      <x:c r="G6" s="2"/>
    </x:row>
    <x:row r="7" ht="22" customHeight="1">
      <x:c r="B7" s="60" t="str">
        <x:v>Proyecto KONOR | Gestión de turnos, asistencia y nóminas de alumnos ayudantes</x:v>
      </x:c>
      <x:c r="C7" s="60" t="str">
        <x:v>Proyecto KONOR | Gestión de turnos, asistencia y nóminas de alumnos ayudantes</x:v>
      </x:c>
      <x:c r="D7" s="60" t="str">
        <x:v>Proyecto KONOR | Gestión de turnos, asistencia y nóminas de alumnos ayudantes</x:v>
      </x:c>
      <x:c r="E7" s="60" t="str">
        <x:v>Proyecto KONOR | Gestión de turnos, asistencia y nóminas de alumnos ayudantes</x:v>
      </x:c>
      <x:c r="F7" s="60" t="str">
        <x:v>Proyecto KONOR | Gestión de turnos, asistencia y nóminas de alumnos ayudantes</x:v>
      </x:c>
      <x:c r="G7" s="60" t="str">
        <x:v>Proyecto KONOR | Gestión de turnos, asistencia y nóminas de alumnos ayudantes</x:v>
      </x:c>
      <x:c r="H7" s="60" t="str">
        <x:v>Proyecto KONOR | Gestión de turnos, asistencia y nóminas de alumnos ayudantes</x:v>
      </x:c>
      <x:c r="I7" s="60" t="str">
        <x:v>Proyecto KONOR | Gestión de turnos, asistencia y nóminas de alumnos ayudantes</x:v>
      </x:c>
      <x:c r="J7" s="60" t="str">
        <x:v>Proyecto KONOR | Gestión de turnos, asistencia y nóminas de alumnos ayudantes</x:v>
      </x:c>
      <x:c r="K7" s="60" t="str">
        <x:v>Proyecto KONOR | Gestión de turnos, asistencia y nóminas de alumnos ayudantes</x:v>
      </x:c>
    </x:row>
    <x:row r="8" ht="22" customHeight="1">
      <x:c r="B8" s="60" t="str">
        <x:v>Corte de avance: 23 de octubre de 2026 | Capstone | Ingeniería en Informática | Sede San Bernardo</x:v>
      </x:c>
      <x:c r="C8" s="60" t="str">
        <x:v>Corte de avance: 23 de octubre de 2026 | Capstone | Ingeniería en Informática | Sede San Bernardo</x:v>
      </x:c>
      <x:c r="D8" s="60" t="str">
        <x:v>Corte de avance: 23 de octubre de 2026 | Capstone | Ingeniería en Informática | Sede San Bernardo</x:v>
      </x:c>
      <x:c r="E8" s="60" t="str">
        <x:v>Corte de avance: 23 de octubre de 2026 | Capstone | Ingeniería en Informática | Sede San Bernardo</x:v>
      </x:c>
      <x:c r="F8" s="60" t="str">
        <x:v>Corte de avance: 23 de octubre de 2026 | Capstone | Ingeniería en Informática | Sede San Bernardo</x:v>
      </x:c>
      <x:c r="G8" s="60" t="str">
        <x:v>Corte de avance: 23 de octubre de 2026 | Capstone | Ingeniería en Informática | Sede San Bernardo</x:v>
      </x:c>
      <x:c r="H8" s="60" t="str">
        <x:v>Corte de avance: 23 de octubre de 2026 | Capstone | Ingeniería en Informática | Sede San Bernardo</x:v>
      </x:c>
      <x:c r="I8" s="60" t="str">
        <x:v>Corte de avance: 23 de octubre de 2026 | Capstone | Ingeniería en Informática | Sede San Bernardo</x:v>
      </x:c>
      <x:c r="J8" s="60" t="str">
        <x:v>Corte de avance: 23 de octubre de 2026 | Capstone | Ingeniería en Informática | Sede San Bernardo</x:v>
      </x:c>
      <x:c r="K8" s="60" t="str">
        <x:v>Corte de avance: 23 de octubre de 2026 | Capstone | Ingeniería en Informática | Sede San Bernardo</x:v>
      </x:c>
    </x:row>
    <x:row r="9" ht="22" customHeight="1">
      <x:c r="B9" s="60" t="str">
        <x:v>Datos y antecedentes completados por el equipo. Niveles de logro y nota pendientes de evaluación docente.</x:v>
      </x:c>
      <x:c r="C9" s="60" t="str">
        <x:v>Datos y antecedentes completados por el equipo. Niveles de logro y nota pendientes de evaluación docente.</x:v>
      </x:c>
      <x:c r="D9" s="60" t="str">
        <x:v>Datos y antecedentes completados por el equipo. Niveles de logro y nota pendientes de evaluación docente.</x:v>
      </x:c>
      <x:c r="E9" s="60" t="str">
        <x:v>Datos y antecedentes completados por el equipo. Niveles de logro y nota pendientes de evaluación docente.</x:v>
      </x:c>
      <x:c r="F9" s="60" t="str">
        <x:v>Datos y antecedentes completados por el equipo. Niveles de logro y nota pendientes de evaluación docente.</x:v>
      </x:c>
      <x:c r="G9" s="60" t="str">
        <x:v>Datos y antecedentes completados por el equipo. Niveles de logro y nota pendientes de evaluación docente.</x:v>
      </x:c>
      <x:c r="H9" s="60" t="str">
        <x:v>Datos y antecedentes completados por el equipo. Niveles de logro y nota pendientes de evaluación docente.</x:v>
      </x:c>
      <x:c r="I9" s="60" t="str">
        <x:v>Datos y antecedentes completados por el equipo. Niveles de logro y nota pendientes de evaluación docente.</x:v>
      </x:c>
      <x:c r="J9" s="60" t="str">
        <x:v>Datos y antecedentes completados por el equipo. Niveles de logro y nota pendientes de evaluación docente.</x:v>
      </x:c>
      <x:c r="K9" s="60" t="str">
        <x:v>Datos y antecedentes completados por el equipo. Niveles de logro y nota pendientes de evaluación docente.</x:v>
      </x:c>
    </x:row>
    <x:row r="11">
      <x:c r="A11" s="27" t="s">
        <x:v>1</x:v>
      </x:c>
      <x:c r="B11" s="28"/>
      <x:c r="C11" s="29" t="s">
        <x:v>2</x:v>
      </x:c>
      <x:c r="D11" s="30" t="s">
        <x:v>3</x:v>
      </x:c>
      <x:c r="E11" s="31"/>
      <x:c r="F11" s="31"/>
      <x:c r="G11" s="31"/>
      <x:c r="H11" s="31"/>
      <x:c r="I11" s="31"/>
      <x:c r="J11" s="31"/>
      <x:c r="K11" s="32"/>
    </x:row>
    <x:row r="12">
      <x:c r="A12" s="33"/>
      <x:c r="B12" s="34" t="s">
        <x:v>4</x:v>
      </x:c>
      <x:c r="C12" s="35"/>
      <x:c r="D12" s="30" t="s">
        <x:v>5</x:v>
      </x:c>
      <x:c r="E12" s="32"/>
      <x:c r="F12" s="30" t="s">
        <x:v>6</x:v>
      </x:c>
      <x:c r="G12" s="32"/>
      <x:c r="H12" s="30" t="s">
        <x:v>7</x:v>
      </x:c>
      <x:c r="I12" s="32"/>
      <x:c r="J12" s="30" t="s">
        <x:v>8</x:v>
      </x:c>
      <x:c r="K12" s="32"/>
    </x:row>
    <x:row r="13">
      <x:c r="A13" s="33"/>
      <x:c r="B13" s="36" t="str">
        <x:f>RUBRICA!A4</x:f>
        <x:v>1. Propone ajustes al Proyecto APT considerando dificultades, facilitadores y retroalimentación. </x:v>
      </x:c>
      <x:c r="C13" s="37"/>
      <x:c r="D13" s="38" t="str">
        <x:f>IF($C13=CL,"X","")</x:f>
      </x:c>
      <x:c r="E13" s="38" t="str">
        <x:f t="shared" ref="E13:E14" si="1">IF(D13="X",100*0.1,"")</x:f>
      </x:c>
      <x:c r="F13" s="38" t="str">
        <x:f>IF($C13=L,"X","")</x:f>
      </x:c>
      <x:c r="G13" s="38" t="str">
        <x:f t="shared" ref="G13:G14" si="2">IF(F13="X",60*0.1,"")</x:f>
      </x:c>
      <x:c r="H13" s="38" t="str">
        <x:f>IF($C13=ML,"X","")</x:f>
      </x:c>
      <x:c r="I13" s="38" t="str">
        <x:f t="shared" ref="I13:I14" si="3">IF(H13="X",30*0.1,"")</x:f>
      </x:c>
      <x:c r="J13" s="38" t="str">
        <x:f>IF($C13=NL,"X","")</x:f>
      </x:c>
      <x:c r="K13" s="38" t="str">
        <x:f t="shared" ref="K13:K20" si="4">IF(J13="X",0*0.1,"")</x:f>
      </x:c>
    </x:row>
    <x:row r="14" ht="26.25" customHeight="1">
      <x:c r="A14" s="33"/>
      <x:c r="B14" s="36" t="str">
        <x:f>RUBRICA!A5</x:f>
        <x:v>2. Aplica una metodología que permite el logro de los objetivos propuestos, de acuerdo a los estándares de la disciplina.</x:v>
      </x:c>
      <x:c r="C14" s="37"/>
      <x:c r="D14" s="38" t="str">
        <x:f>IF($C14=CL,"X","")</x:f>
      </x:c>
      <x:c r="E14" s="38" t="str">
        <x:f t="shared" si="1">IF(D14="X",100*0.1,"")</x:f>
      </x:c>
      <x:c r="F14" s="38" t="str">
        <x:f>IF($C14=L,"X","")</x:f>
      </x:c>
      <x:c r="G14" s="38" t="str">
        <x:f t="shared" si="2">IF(F14="X",60*0.1,"")</x:f>
      </x:c>
      <x:c r="H14" s="38" t="str">
        <x:f>IF($C14=ML,"X","")</x:f>
      </x:c>
      <x:c r="I14" s="38" t="str">
        <x:f t="shared" si="3">IF(H14="X",30*0.1,"")</x:f>
      </x:c>
      <x:c r="J14" s="38" t="str">
        <x:f>IF($C14=NL,"X","")</x:f>
      </x:c>
      <x:c r="K14" s="38" t="str">
        <x:f t="shared" si="4">IF(J14="X",0*0.1,"")</x:f>
      </x:c>
    </x:row>
    <x:row r="15">
      <x:c r="A15" s="33"/>
      <x:c r="B15" s="36" t="str">
        <x:f>RUBRICA!A6</x:f>
        <x:v>3. Genera evidencias que dan cuenta del avance del Proyecto APT en relación a documentación, programación y almacenamiento de datos , de acuerdo a lo planificado por el equipo y que cumpla con estándares de desarrollo de la industria</x:v>
      </x:c>
      <x:c r="C15" s="37"/>
      <x:c r="D15" s="38" t="str">
        <x:f>IF($C15=CL,"X","")</x:f>
      </x:c>
      <x:c r="E15" s="38" t="str">
        <x:f>IF(D15="X",100*0.25,"")</x:f>
      </x:c>
      <x:c r="F15" s="38" t="str">
        <x:f>IF($C15=L,"X","")</x:f>
      </x:c>
      <x:c r="G15" s="38" t="str">
        <x:f>IF(F15="X",60*0.25,"")</x:f>
      </x:c>
      <x:c r="H15" s="38" t="str">
        <x:f>IF($C15=ML,"X","")</x:f>
      </x:c>
      <x:c r="I15" s="38" t="str">
        <x:f>IF(H15="X",30*0.25,"")</x:f>
      </x:c>
      <x:c r="J15" s="38" t="str">
        <x:f>IF($C15=NL,"X","")</x:f>
      </x:c>
      <x:c r="K15" s="38" t="str">
        <x:f t="shared" si="4">IF(J15="X",0*0.25,"")</x:f>
      </x:c>
    </x:row>
    <x:row r="16">
      <x:c r="A16" s="33"/>
      <x:c r="B16" s="36" t="str">
        <x:f>RUBRICA!A7</x:f>
        <x:v>4. Utiliza de manera precisa el lenguaje técnico en los entregables de acuerdo con lo requerido por la disciplina.</x:v>
      </x:c>
      <x:c r="C16" s="37"/>
      <x:c r="D16" s="38" t="str">
        <x:f>IF($C16=CL,"X","")</x:f>
      </x:c>
      <x:c r="E16" s="38" t="str">
        <x:f t="shared" ref="E16:E17" si="5">IF(D16="X",100*0.05,"")</x:f>
      </x:c>
      <x:c r="F16" s="38" t="str">
        <x:f>IF($C16=L,"X","")</x:f>
      </x:c>
      <x:c r="G16" s="38" t="str">
        <x:f t="shared" ref="G16:G17" si="6">IF(F16="X",60*0.05,"")</x:f>
      </x:c>
      <x:c r="H16" s="38" t="str">
        <x:f>IF($C16=ML,"X","")</x:f>
      </x:c>
      <x:c r="I16" s="38" t="str">
        <x:f t="shared" ref="I16:I17" si="7">IF(H16="X",30*0.05,"")</x:f>
      </x:c>
      <x:c r="J16" s="38" t="str">
        <x:f>IF($C16=NL,"X","")</x:f>
      </x:c>
      <x:c r="K16" s="38" t="str">
        <x:f t="shared" si="4">IF(J16="X",0*0.05,"")</x:f>
      </x:c>
    </x:row>
    <x:row r="17">
      <x:c r="A17" s="33"/>
      <x:c r="B17" s="36" t="str">
        <x:f>RUBRICA!A8</x:f>
        <x:v>5. Utiliza reglas de redacción, ortografía (literal, puntual, acentual) y las normas para citas y referencias. </x:v>
      </x:c>
      <x:c r="C17" s="37"/>
      <x:c r="D17" s="38" t="str">
        <x:f>IF($C17=CL,"X","")</x:f>
      </x:c>
      <x:c r="E17" s="38" t="str">
        <x:f t="shared" si="5">IF(D17="X",100*0.05,"")</x:f>
      </x:c>
      <x:c r="F17" s="38" t="str">
        <x:f>IF($C17=L,"X","")</x:f>
      </x:c>
      <x:c r="G17" s="38" t="str">
        <x:f t="shared" si="6">IF(F17="X",60*0.05,"")</x:f>
      </x:c>
      <x:c r="H17" s="38" t="str">
        <x:f>IF($C17=ML,"X","")</x:f>
      </x:c>
      <x:c r="I17" s="38" t="str">
        <x:f t="shared" si="7">IF(H17="X",30*0.05,"")</x:f>
      </x:c>
      <x:c r="J17" s="38" t="str">
        <x:f>IF($C17=NL,"X","")</x:f>
      </x:c>
      <x:c r="K17" s="38" t="str">
        <x:f t="shared" si="4">IF(J17="X",0*0.05,"")</x:f>
      </x:c>
    </x:row>
    <x:row r="18">
      <x:c r="A18" s="33"/>
      <x:c r="B18" s="36" t="str">
        <x:f>RUBRICA!A9</x:f>
        <x:v>6. Entrega la documentación y evidencias requerida por la asignatura de acuerdo a la estrucutra y nombres solicitados, guardando todas las evidencias de avances en Git</x:v>
      </x:c>
      <x:c r="C18" s="37"/>
      <x:c r="D18" s="38" t="str">
        <x:f>IF($C18=CL,"X","")</x:f>
      </x:c>
      <x:c r="E18" s="38" t="str">
        <x:f>IF(D18="X",100*0.2,"")</x:f>
      </x:c>
      <x:c r="F18" s="38" t="str">
        <x:f>IF($C18=L,"X","")</x:f>
      </x:c>
      <x:c r="G18" s="38" t="str">
        <x:f>IF(F18="X",60*0.2,"")</x:f>
      </x:c>
      <x:c r="H18" s="38" t="str">
        <x:f>IF($C18=ML,"X","")</x:f>
      </x:c>
      <x:c r="I18" s="38" t="str">
        <x:f>IF(H18="X",30*0.2,"")</x:f>
      </x:c>
      <x:c r="J18" s="38" t="str">
        <x:f>IF($C18=NL,"X","")</x:f>
      </x:c>
      <x:c r="K18" s="38" t="str">
        <x:f t="shared" si="4">IF(J18="X",0*0.2,"")</x:f>
      </x:c>
    </x:row>
    <x:row r="19">
      <x:c r="A19" s="33"/>
      <x:c r="B19" s="36" t="str">
        <x:f>RUBRICA!A10</x:f>
        <x:v>7.- Generan evidencias claras dentro del repositorio  del aporte de cada uno de los integrantes del equipo que permitan identificar la equidad en el trabajo y la participación de cada estudiante.</x:v>
      </x:c>
      <x:c r="C19" s="49"/>
      <x:c r="D19" s="38" t="str">
        <x:f>IF($C19=CL,"X","")</x:f>
      </x:c>
      <x:c r="E19" s="38" t="str">
        <x:f>IF(D19="X",100*0.15,"")</x:f>
      </x:c>
      <x:c r="F19" s="38" t="str">
        <x:f>IF($C19=L,"X","")</x:f>
      </x:c>
      <x:c r="G19" s="38" t="str">
        <x:f>IF(F19="X",60*0.15,"")</x:f>
      </x:c>
      <x:c r="H19" s="38" t="str">
        <x:f>IF($C19=ML,"X","")</x:f>
      </x:c>
      <x:c r="I19" s="38" t="str">
        <x:f>IF(H19="X",30*0.15,"")</x:f>
      </x:c>
      <x:c r="J19" s="38" t="str">
        <x:f>IF($C19=NL,"X","")</x:f>
      </x:c>
      <x:c r="K19" s="38" t="str">
        <x:f t="shared" si="4">IF(J19="X",0*0.15,"")</x:f>
      </x:c>
    </x:row>
    <x:row r="20">
      <x:c r="A20" s="33"/>
      <x:c r="B20" s="36" t="str">
        <x:f>RUBRICA!A11</x:f>
        <x:v>8. Demuestra un trabajo en equipo en donde todos los miembros del equipo expresan con fluidez el conocimiento del tema expuesto y  participan de las actividades planificadas en el proyecto</x:v>
      </x:c>
      <x:c r="C20" s="37"/>
      <x:c r="D20" s="38" t="str">
        <x:f>IF($C20=CL,"X","")</x:f>
      </x:c>
      <x:c r="E20" s="38" t="str">
        <x:f>IF(D20="X",100*0.1,"")</x:f>
      </x:c>
      <x:c r="F20" s="38" t="str">
        <x:f>IF($C20=L,"X","")</x:f>
      </x:c>
      <x:c r="G20" s="38" t="str">
        <x:f>IF(F20="X",60*0.1,"")</x:f>
      </x:c>
      <x:c r="H20" s="38" t="str">
        <x:f>IF($C20=ML,"X","")</x:f>
      </x:c>
      <x:c r="I20" s="38" t="str">
        <x:f>IF(H20="X",30*0.1,"")</x:f>
      </x:c>
      <x:c r="J20" s="38" t="str">
        <x:f>IF($C20=NL,"X","")</x:f>
      </x:c>
      <x:c r="K20" s="38" t="str">
        <x:f t="shared" si="4">IF(J20="X",0*0.1,"")</x:f>
      </x:c>
    </x:row>
    <x:row r="21" ht="15.75" customHeight="1">
      <x:c r="A21" s="33"/>
      <x:c r="B21" s="50" t="s">
        <x:v>9</x:v>
      </x:c>
      <x:c r="C21" s="51" t="str">
        <x:f>IF(COUNTA(C13:C20)&lt;8,"",E21+G21+I21+K21)</x:f>
      </x:c>
      <x:c r="D21" s="52"/>
      <x:c r="E21" s="52" t="n">
        <x:f>SUM(E13:E20)</x:f>
        <x:v>0</x:v>
      </x:c>
      <x:c r="F21" s="52"/>
      <x:c r="G21" s="52" t="n">
        <x:f>SUM(G13:G20)</x:f>
        <x:v>0</x:v>
      </x:c>
      <x:c r="H21" s="52"/>
      <x:c r="I21" s="52" t="n">
        <x:f>SUM(I13:I20)</x:f>
        <x:v>0</x:v>
      </x:c>
      <x:c r="J21" s="52"/>
      <x:c r="K21" s="52" t="n">
        <x:f>SUM(K13:K20)</x:f>
        <x:v>0</x:v>
      </x:c>
    </x:row>
    <x:row r="22" ht="15.75" customHeight="1">
      <x:c r="A22" s="35"/>
      <x:c r="B22" s="53" t="s">
        <x:v>10</x:v>
      </x:c>
      <x:c r="C22" s="54" t="str">
        <x:f>IF(C21="","",VLOOKUP(C21,ESCALA_IEP!A2:B202,2,FALSE))</x:f>
      </x:c>
    </x:row>
    <x:row r="23" ht="15.75" customHeight="1">
      <x:c r="D23" s="1"/>
    </x:row>
    <x:row r="24" ht="48" customHeight="1">
      <x:c r="B24" s="55"/>
    </x:row>
    <x:row r="25" ht="26" customHeight="1">
      <x:c r="B25" s="64" t="str">
        <x:v>Antecedentes de KONOR para apoyar la evaluación de avance</x:v>
      </x:c>
      <x:c r="C25" s="67" t="str">
        <x:v>Antecedentes de KONOR para apoyar la evaluación de avance</x:v>
      </x:c>
      <x:c r="D25" s="68" t="str">
        <x:v>Antecedentes de KONOR para apoyar la evaluación de avance</x:v>
      </x:c>
      <x:c r="E25" s="68" t="str">
        <x:v>Antecedentes de KONOR para apoyar la evaluación de avance</x:v>
      </x:c>
      <x:c r="F25" s="68" t="str">
        <x:v>Antecedentes de KONOR para apoyar la evaluación de avance</x:v>
      </x:c>
      <x:c r="G25" s="68" t="str">
        <x:v>Antecedentes de KONOR para apoyar la evaluación de avance</x:v>
      </x:c>
      <x:c r="H25" s="68" t="str">
        <x:v>Antecedentes de KONOR para apoyar la evaluación de avance</x:v>
      </x:c>
      <x:c r="I25" s="68" t="str">
        <x:v>Antecedentes de KONOR para apoyar la evaluación de avance</x:v>
      </x:c>
      <x:c r="J25" s="68" t="str">
        <x:v>Antecedentes de KONOR para apoyar la evaluación de avance</x:v>
      </x:c>
      <x:c r="K25" s="68" t="str">
        <x:v>Antecedentes de KONOR para apoyar la evaluación de avance</x:v>
      </x:c>
    </x:row>
    <x:row r="26" ht="66" customHeight="1">
      <x:c r="B26" s="74" t="str">
        <x:v>1 Ajustes del proyecto</x:v>
      </x:c>
      <x:c r="C26" s="73" t="str">
        <x:v>Se mantiene el MVP administrativo y la coordinación externa por WhatsApp. Las guías 2.4 y 2.6 reflejan código disponible, integración y trabajo programado. Se priorizan revisión de reservas horarias, persistencia de horarios y consistencia del cierre.</x:v>
      </x:c>
      <x:c r="D26" s="73" t="str">
        <x:v>Se mantiene el MVP administrativo y la coordinación externa por WhatsApp. Las guías 2.4 y 2.6 reflejan código disponible, integración y trabajo programado. Se priorizan revisión de reservas horarias, persistencia de horarios y consistencia del cierre.</x:v>
      </x:c>
      <x:c r="E26" s="73" t="str">
        <x:v>Se mantiene el MVP administrativo y la coordinación externa por WhatsApp. Las guías 2.4 y 2.6 reflejan código disponible, integración y trabajo programado. Se priorizan revisión de reservas horarias, persistencia de horarios y consistencia del cierre.</x:v>
      </x:c>
      <x:c r="F26" s="73" t="str">
        <x:v>Se mantiene el MVP administrativo y la coordinación externa por WhatsApp. Las guías 2.4 y 2.6 reflejan código disponible, integración y trabajo programado. Se priorizan revisión de reservas horarias, persistencia de horarios y consistencia del cierre.</x:v>
      </x:c>
      <x:c r="G26" s="73" t="str">
        <x:v>Se mantiene el MVP administrativo y la coordinación externa por WhatsApp. Las guías 2.4 y 2.6 reflejan código disponible, integración y trabajo programado. Se priorizan revisión de reservas horarias, persistencia de horarios y consistencia del cierre.</x:v>
      </x:c>
      <x:c r="H26" s="73" t="str">
        <x:v>Se mantiene el MVP administrativo y la coordinación externa por WhatsApp. Las guías 2.4 y 2.6 reflejan código disponible, integración y trabajo programado. Se priorizan revisión de reservas horarias, persistencia de horarios y consistencia del cierre.</x:v>
      </x:c>
      <x:c r="I26" s="73" t="str">
        <x:v>Se mantiene el MVP administrativo y la coordinación externa por WhatsApp. Las guías 2.4 y 2.6 reflejan código disponible, integración y trabajo programado. Se priorizan revisión de reservas horarias, persistencia de horarios y consistencia del cierre.</x:v>
      </x:c>
      <x:c r="J26" s="73" t="str">
        <x:v>Se mantiene el MVP administrativo y la coordinación externa por WhatsApp. Las guías 2.4 y 2.6 reflejan código disponible, integración y trabajo programado. Se priorizan revisión de reservas horarias, persistencia de horarios y consistencia del cierre.</x:v>
      </x:c>
      <x:c r="K26" s="73" t="str">
        <x:v>Se mantiene el MVP administrativo y la coordinación externa por WhatsApp. Las guías 2.4 y 2.6 reflejan código disponible, integración y trabajo programado. Se priorizan revisión de reservas horarias, persistencia de horarios y consistencia del cierre.</x:v>
      </x:c>
    </x:row>
    <x:row r="27" ht="66" customHeight="1">
      <x:c r="B27" s="75" t="str">
        <x:v>2 Metodología</x:v>
      </x:c>
      <x:c r="C27" s="73" t="str">
        <x:v>Scrum adaptado a dos integrantes, con 21 historias, backlog priorizado y sprints. Catalina coordina análisis y calidad; Danitza facilita seguimiento e integración. El calendario conserva QA en Sprint 4 y marcha blanca del 20 al 30 de noviembre.</x:v>
      </x:c>
      <x:c r="D27" s="73" t="str">
        <x:v>Scrum adaptado a dos integrantes, con 21 historias, backlog priorizado y sprints. Catalina coordina análisis y calidad; Danitza facilita seguimiento e integración. El calendario conserva QA en Sprint 4 y marcha blanca del 20 al 30 de noviembre.</x:v>
      </x:c>
      <x:c r="E27" s="73" t="str">
        <x:v>Scrum adaptado a dos integrantes, con 21 historias, backlog priorizado y sprints. Catalina coordina análisis y calidad; Danitza facilita seguimiento e integración. El calendario conserva QA en Sprint 4 y marcha blanca del 20 al 30 de noviembre.</x:v>
      </x:c>
      <x:c r="F27" s="73" t="str">
        <x:v>Scrum adaptado a dos integrantes, con 21 historias, backlog priorizado y sprints. Catalina coordina análisis y calidad; Danitza facilita seguimiento e integración. El calendario conserva QA en Sprint 4 y marcha blanca del 20 al 30 de noviembre.</x:v>
      </x:c>
      <x:c r="G27" s="73" t="str">
        <x:v>Scrum adaptado a dos integrantes, con 21 historias, backlog priorizado y sprints. Catalina coordina análisis y calidad; Danitza facilita seguimiento e integración. El calendario conserva QA en Sprint 4 y marcha blanca del 20 al 30 de noviembre.</x:v>
      </x:c>
      <x:c r="H27" s="73" t="str">
        <x:v>Scrum adaptado a dos integrantes, con 21 historias, backlog priorizado y sprints. Catalina coordina análisis y calidad; Danitza facilita seguimiento e integración. El calendario conserva QA en Sprint 4 y marcha blanca del 20 al 30 de noviembre.</x:v>
      </x:c>
      <x:c r="I27" s="73" t="str">
        <x:v>Scrum adaptado a dos integrantes, con 21 historias, backlog priorizado y sprints. Catalina coordina análisis y calidad; Danitza facilita seguimiento e integración. El calendario conserva QA en Sprint 4 y marcha blanca del 20 al 30 de noviembre.</x:v>
      </x:c>
      <x:c r="J27" s="73" t="str">
        <x:v>Scrum adaptado a dos integrantes, con 21 historias, backlog priorizado y sprints. Catalina coordina análisis y calidad; Danitza facilita seguimiento e integración. El calendario conserva QA en Sprint 4 y marcha blanca del 20 al 30 de noviembre.</x:v>
      </x:c>
      <x:c r="K27" s="73" t="str">
        <x:v>Scrum adaptado a dos integrantes, con 21 historias, backlog priorizado y sprints. Catalina coordina análisis y calidad; Danitza facilita seguimiento e integración. El calendario conserva QA en Sprint 4 y marcha blanca del 20 al 30 de noviembre.</x:v>
      </x:c>
    </x:row>
    <x:row r="28" ht="66" customHeight="1">
      <x:c r="B28" s="75" t="str">
        <x:v>3 Evidencias de avance</x:v>
      </x:c>
      <x:c r="C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D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E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F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G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H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I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J28" s="73" t="str">
        <x:v>Repositorio React con Vite y llamadas a Supabase: acceso, directorio, carga Excel, turnos, asignación y asistencia. Hay Excel básico de cuatro columnas. Se agregan manuales y trazabilidad. Esquema aplicado, demostración y validación integral siguen por documentar.</x:v>
      </x:c>
      <x:c r="K28" s="73" t="str">
        <x:v>Repositorio React con Vite y llamadas a Supabase: acceso, directorio, carga Excel, turnos, asignación y asistencia. Hay Excel básico de cuatro columnas. Se agregan manuales y trazabilidad. Esquema aplicado, demostración y validación integral siguen por documentar.</x:v>
      </x:c>
    </x:row>
    <x:row r="29" ht="66" customHeight="1">
      <x:c r="B29" s="75" t="str">
        <x:v>4 Lenguaje técnico</x:v>
      </x:c>
      <x:c r="C29" s="73" t="str">
        <x:v>Los entregables distinguen requisitos, código, integración y validación. Se utilizan términos de arquitectura, autenticación, consultas, bitácora y control de versiones. La exportación básica se diferencia de la nómina integral y del ledger programados.</x:v>
      </x:c>
      <x:c r="D29" s="73" t="str">
        <x:v>Los entregables distinguen requisitos, código, integración y validación. Se utilizan términos de arquitectura, autenticación, consultas, bitácora y control de versiones. La exportación básica se diferencia de la nómina integral y del ledger programados.</x:v>
      </x:c>
      <x:c r="E29" s="73" t="str">
        <x:v>Los entregables distinguen requisitos, código, integración y validación. Se utilizan términos de arquitectura, autenticación, consultas, bitácora y control de versiones. La exportación básica se diferencia de la nómina integral y del ledger programados.</x:v>
      </x:c>
      <x:c r="F29" s="73" t="str">
        <x:v>Los entregables distinguen requisitos, código, integración y validación. Se utilizan términos de arquitectura, autenticación, consultas, bitácora y control de versiones. La exportación básica se diferencia de la nómina integral y del ledger programados.</x:v>
      </x:c>
      <x:c r="G29" s="73" t="str">
        <x:v>Los entregables distinguen requisitos, código, integración y validación. Se utilizan términos de arquitectura, autenticación, consultas, bitácora y control de versiones. La exportación básica se diferencia de la nómina integral y del ledger programados.</x:v>
      </x:c>
      <x:c r="H29" s="73" t="str">
        <x:v>Los entregables distinguen requisitos, código, integración y validación. Se utilizan términos de arquitectura, autenticación, consultas, bitácora y control de versiones. La exportación básica se diferencia de la nómina integral y del ledger programados.</x:v>
      </x:c>
      <x:c r="I29" s="73" t="str">
        <x:v>Los entregables distinguen requisitos, código, integración y validación. Se utilizan términos de arquitectura, autenticación, consultas, bitácora y control de versiones. La exportación básica se diferencia de la nómina integral y del ledger programados.</x:v>
      </x:c>
      <x:c r="J29" s="73" t="str">
        <x:v>Los entregables distinguen requisitos, código, integración y validación. Se utilizan términos de arquitectura, autenticación, consultas, bitácora y control de versiones. La exportación básica se diferencia de la nómina integral y del ledger programados.</x:v>
      </x:c>
      <x:c r="K29" s="73" t="str">
        <x:v>Los entregables distinguen requisitos, código, integración y validación. Se utilizan términos de arquitectura, autenticación, consultas, bitácora y control de versiones. La exportación básica se diferencia de la nómina integral y del ledger programados.</x:v>
      </x:c>
    </x:row>
    <x:row r="30" ht="66" customHeight="1">
      <x:c r="B30" s="75" t="str">
        <x:v>5 Redacción y referencias</x:v>
      </x:c>
      <x:c r="C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D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E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F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G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H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I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J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c r="K30" s="73" t="str">
        <x:v>Se actualizaron las guías y complementos en español, con nombres completos, fechas y referencias al repositorio. Flujo 1.3, historias y backlog mantienen la misma terminología. La revisión formal de citas y redacción corresponde a la evaluación del conjunto entregado.</x:v>
      </x:c>
    </x:row>
    <x:row r="31" ht="66" customHeight="1">
      <x:c r="B31" s="75" t="str">
        <x:v>6 Organización de entregables en Git</x:v>
      </x:c>
      <x:c r="C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D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E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F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G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H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I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J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c r="K31" s="73" t="str">
        <x:v>Están preparados los diarios 2.1 de ambas integrantes, guías 2.4 y 2.6, backlog, historias, flujo, prototipo y manuales. Falta comprobar que todas las versiones finales se incorporen al repositorio con los nombres institucionales. Esta planilla no acredita esa publicación.</x:v>
      </x:c>
    </x:row>
    <x:row r="32" ht="66" customHeight="1">
      <x:c r="B32" s="75" t="str">
        <x:v>7 Aporte de cada integrante</x:v>
      </x:c>
      <x:c r="C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D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E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F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G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H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I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J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c r="K32" s="73" t="str">
        <x:v>Los documentos describen responsabilidades compartidas y funciones diferenciadas. La referencia local de main 78d0dd8 contiene un commit de carga de catabenitezduoc; ese registro por sí solo no permite valorar la equidad. Incorporar tareas, revisiones y evidencias atribuibles a ambas integrantes.</x:v>
      </x:c>
    </x:row>
    <x:row r="33" ht="66" customHeight="1">
      <x:c r="B33" s="75" t="str">
        <x:v>8 Trabajo en equipo y exposición</x:v>
      </x:c>
      <x:c r="C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D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E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F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G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H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I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J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c r="K33" s="73" t="str">
        <x:v>Las dos integrantes participan en análisis, desarrollo, seguimiento y documentación según la planificación. La fluidez y participación en la exposición deben observarse durante la presentación; no se atribuye una valoración docente a una exposición todavía no revisada.</x:v>
      </x:c>
    </x:row>
    <x:row r="34" ht="15.75" customHeight="1"/>
    <x:row r="35" ht="30" customHeight="1">
      <x:c r="B35" s="60" t="str">
        <x:v>Referencia: https://github.com/daniariasg/Konor | main 78d0dd8 | Documentación actualizada al 23/10/2026. Las pruebas futuras permanecen programadas.</x:v>
      </x:c>
      <x:c r="C35" s="60" t="str">
        <x:v>Referencia: https://github.com/daniariasg/Konor | main 78d0dd8 | Documentación actualizada al 23/10/2026. Las pruebas futuras permanecen programadas.</x:v>
      </x:c>
      <x:c r="D35" s="60" t="str">
        <x:v>Referencia: https://github.com/daniariasg/Konor | main 78d0dd8 | Documentación actualizada al 23/10/2026. Las pruebas futuras permanecen programadas.</x:v>
      </x:c>
      <x:c r="E35" s="60" t="str">
        <x:v>Referencia: https://github.com/daniariasg/Konor | main 78d0dd8 | Documentación actualizada al 23/10/2026. Las pruebas futuras permanecen programadas.</x:v>
      </x:c>
      <x:c r="F35" s="60" t="str">
        <x:v>Referencia: https://github.com/daniariasg/Konor | main 78d0dd8 | Documentación actualizada al 23/10/2026. Las pruebas futuras permanecen programadas.</x:v>
      </x:c>
      <x:c r="G35" s="60" t="str">
        <x:v>Referencia: https://github.com/daniariasg/Konor | main 78d0dd8 | Documentación actualizada al 23/10/2026. Las pruebas futuras permanecen programadas.</x:v>
      </x:c>
      <x:c r="H35" s="60" t="str">
        <x:v>Referencia: https://github.com/daniariasg/Konor | main 78d0dd8 | Documentación actualizada al 23/10/2026. Las pruebas futuras permanecen programadas.</x:v>
      </x:c>
      <x:c r="I35" s="60" t="str">
        <x:v>Referencia: https://github.com/daniariasg/Konor | main 78d0dd8 | Documentación actualizada al 23/10/2026. Las pruebas futuras permanecen programadas.</x:v>
      </x:c>
      <x:c r="J35" s="60" t="str">
        <x:v>Referencia: https://github.com/daniariasg/Konor | main 78d0dd8 | Documentación actualizada al 23/10/2026. Las pruebas futuras permanecen programadas.</x:v>
      </x:c>
      <x:c r="K35" s="60" t="str">
        <x:v>Referencia: https://github.com/daniariasg/Konor | main 78d0dd8 | Documentación actualizada al 23/10/2026. Las pruebas futuras permanecen programadas.</x:v>
      </x:c>
    </x:row>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1:A22"/>
    <x:mergeCell ref="C11:C12"/>
    <x:mergeCell ref="D11:K11"/>
    <x:mergeCell ref="D12:E12"/>
    <x:mergeCell ref="F12:G12"/>
    <x:mergeCell ref="H12:I12"/>
    <x:mergeCell ref="J12:K12"/>
    <x:mergeCell ref="B7:K7"/>
    <x:mergeCell ref="B8:K8"/>
    <x:mergeCell ref="B9:K9"/>
    <x:mergeCell ref="B25:K25"/>
    <x:mergeCell ref="C26:K26"/>
    <x:mergeCell ref="C27:K27"/>
    <x:mergeCell ref="C28:K28"/>
    <x:mergeCell ref="C29:K29"/>
    <x:mergeCell ref="C30:K30"/>
    <x:mergeCell ref="C31:K31"/>
    <x:mergeCell ref="C32:K32"/>
    <x:mergeCell ref="C33:K33"/>
    <x:mergeCell ref="B35:K35"/>
  </x:mergeCells>
  <x:conditionalFormatting sqref="C4:C6">
    <x:cfRule type="cellIs" dxfId="0" priority="1" operator="lessThan">
      <x:formula>4</x:formula>
    </x:cfRule>
  </x:conditionalFormatting>
  <x:conditionalFormatting sqref="C4:C6">
    <x:cfRule type="cellIs" dxfId="0" priority="2" operator="lessThan">
      <x:formula>1</x:formula>
    </x:cfRule>
  </x:conditionalFormatting>
  <x:dataValidations count="2">
    <x:dataValidation type="list" allowBlank="1" showErrorMessage="1" sqref="C13:C20">
      <x:formula1>'RELEVANCIA-PUNTAJE'!$B$2:$E$2</x:formula1>
    </x:dataValidation>
    <x:dataValidation type="decimal" allowBlank="1" showInputMessage="1" showErrorMessage="1" prompt="Error de Ingreso - Nota debe estar entre 1,0 y 7,0" sqref="C4:C6">
      <x:formula1>1.0</x:formula1>
      <x:formula2>7.0</x:formula2>
    </x:dataValidation>
  </x:dataValidation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6" width="38.709999084472656" customWidth="1"/>
    <x:col min="7" max="26" width="11.430000305175781" customWidth="1"/>
  </x:cols>
  <x:sheetData>
    <x:row r="1" ht="14.25" customHeight="1">
      <x:c r="A1" s="4" t="s">
        <x:v>11</x:v>
      </x:c>
      <x:c r="B1" s="6" t="s">
        <x:v>12</x:v>
      </x:c>
      <x:c r="C1" s="7"/>
      <x:c r="D1" s="7"/>
      <x:c r="E1" s="9"/>
      <x:c r="F1" s="4" t="s">
        <x:v>13</x:v>
      </x:c>
    </x:row>
    <x:row r="2" ht="14.25" customHeight="1">
      <x:c r="A2" s="11"/>
      <x:c r="B2" s="13" t="s">
        <x:v>14</x:v>
      </x:c>
      <x:c r="C2" s="13" t="s">
        <x:v>15</x:v>
      </x:c>
      <x:c r="D2" s="14" t="s">
        <x:v>16</x:v>
      </x:c>
      <x:c r="E2" s="15" t="s">
        <x:v>8</x:v>
      </x:c>
      <x:c r="F2" s="11"/>
    </x:row>
    <x:row r="3" ht="14.25" customHeight="1">
      <x:c r="A3" s="16"/>
      <x:c r="B3" s="16"/>
      <x:c r="C3" s="16"/>
      <x:c r="D3" s="17">
        <x:v>-0.3</x:v>
      </x:c>
      <x:c r="E3" s="17">
        <x:v>0.0</x:v>
      </x:c>
      <x:c r="F3" s="18"/>
    </x:row>
    <x:row r="4" ht="14.25" customHeight="1">
      <x:c r="A4" s="19" t="s">
        <x:v>17</x:v>
      </x:c>
      <x:c r="B4" s="19" t="s">
        <x:v>18</x:v>
      </x:c>
      <x:c r="C4" s="19" t="s">
        <x:v>19</x:v>
      </x:c>
      <x:c r="D4" s="19" t="s">
        <x:v>20</x:v>
      </x:c>
      <x:c r="E4" s="19" t="s">
        <x:v>21</x:v>
      </x:c>
      <x:c r="F4" s="20">
        <x:v>10.0</x:v>
      </x:c>
    </x:row>
    <x:row r="5" ht="14.25" customHeight="1">
      <x:c r="A5" s="19" t="s">
        <x:v>22</x:v>
      </x:c>
      <x:c r="B5" s="19" t="s">
        <x:v>23</x:v>
      </x:c>
      <x:c r="C5" s="19" t="s">
        <x:v>24</x:v>
      </x:c>
      <x:c r="D5" s="19" t="s">
        <x:v>25</x:v>
      </x:c>
      <x:c r="E5" s="19" t="s">
        <x:v>26</x:v>
      </x:c>
      <x:c r="F5" s="20">
        <x:v>10.0</x:v>
      </x:c>
    </x:row>
    <x:row r="6" ht="14.25" customHeight="1">
      <x:c r="A6" s="19" t="s">
        <x:v>27</x:v>
      </x:c>
      <x:c r="B6" s="19" t="s">
        <x:v>28</x:v>
      </x:c>
      <x:c r="C6" s="19" t="s">
        <x:v>29</x:v>
      </x:c>
      <x:c r="D6" s="19" t="s">
        <x:v>30</x:v>
      </x:c>
      <x:c r="E6" s="19" t="s">
        <x:v>31</x:v>
      </x:c>
      <x:c r="F6" s="20">
        <x:v>25.0</x:v>
      </x:c>
    </x:row>
    <x:row r="7" ht="14.25" customHeight="1">
      <x:c r="A7" s="19" t="s">
        <x:v>32</x:v>
      </x:c>
      <x:c r="B7" s="19" t="s">
        <x:v>33</x:v>
      </x:c>
      <x:c r="C7" s="19" t="s">
        <x:v>34</x:v>
      </x:c>
      <x:c r="D7" s="19" t="s">
        <x:v>35</x:v>
      </x:c>
      <x:c r="E7" s="19" t="s">
        <x:v>36</x:v>
      </x:c>
      <x:c r="F7" s="20">
        <x:v>5.0</x:v>
      </x:c>
    </x:row>
    <x:row r="8" ht="14.25" customHeight="1">
      <x:c r="A8" s="19" t="s">
        <x:v>37</x:v>
      </x:c>
      <x:c r="B8" s="19" t="s">
        <x:v>38</x:v>
      </x:c>
      <x:c r="C8" s="19" t="s">
        <x:v>39</x:v>
      </x:c>
      <x:c r="D8" s="19" t="s">
        <x:v>40</x:v>
      </x:c>
      <x:c r="E8" s="19" t="s">
        <x:v>41</x:v>
      </x:c>
      <x:c r="F8" s="22">
        <x:v>5.0</x:v>
      </x:c>
    </x:row>
    <x:row r="9" ht="14.25" customHeight="1">
      <x:c r="A9" s="19" t="s">
        <x:v>42</x:v>
      </x:c>
      <x:c r="B9" s="19" t="s">
        <x:v>43</x:v>
      </x:c>
      <x:c r="C9" s="19" t="s">
        <x:v>44</x:v>
      </x:c>
      <x:c r="D9" s="19" t="s">
        <x:v>45</x:v>
      </x:c>
      <x:c r="E9" s="19" t="s">
        <x:v>46</x:v>
      </x:c>
      <x:c r="F9" s="20">
        <x:v>20.0</x:v>
      </x:c>
    </x:row>
    <x:row r="10" ht="14.25" customHeight="1">
      <x:c r="A10" s="23" t="s">
        <x:v>47</x:v>
      </x:c>
      <x:c r="B10" s="23" t="s">
        <x:v>48</x:v>
      </x:c>
      <x:c r="C10" s="23" t="s">
        <x:v>49</x:v>
      </x:c>
      <x:c r="D10" s="23" t="s">
        <x:v>50</x:v>
      </x:c>
      <x:c r="E10" s="23" t="s">
        <x:v>51</x:v>
      </x:c>
      <x:c r="F10" s="24">
        <x:v>15.0</x:v>
      </x:c>
    </x:row>
    <x:row r="11" ht="81" customHeight="1">
      <x:c r="A11" s="19" t="s">
        <x:v>52</x:v>
      </x:c>
      <x:c r="B11" s="19" t="s">
        <x:v>53</x:v>
      </x:c>
      <x:c r="C11" s="19" t="s">
        <x:v>54</x:v>
      </x:c>
      <x:c r="D11" s="19" t="s">
        <x:v>55</x:v>
      </x:c>
      <x:c r="E11" s="19" t="s">
        <x:v>56</x:v>
      </x:c>
      <x:c r="F11" s="26">
        <x:v>10.0</x:v>
      </x:c>
    </x:row>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A1:A3"/>
    <x:mergeCell ref="B1:E1"/>
    <x:mergeCell ref="F1:F3"/>
    <x:mergeCell ref="B2:B3"/>
    <x:mergeCell ref="C2:C3"/>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6" width="10.710000038146973" customWidth="1"/>
  </x:cols>
  <x:sheetData>
    <x:row r="1">
      <x:c r="A1" s="1" t="s">
        <x:v>9</x:v>
      </x:c>
      <x:c r="B1" s="1" t="s">
        <x:v>10</x:v>
      </x:c>
    </x:row>
    <x:row r="2">
      <x:c r="A2" s="1">
        <x:v>0.0</x:v>
      </x:c>
      <x:c r="B2" s="1">
        <x:v>1.0</x:v>
      </x:c>
    </x:row>
    <x:row r="3">
      <x:c r="A3" s="1">
        <x:v>0.5</x:v>
      </x:c>
      <x:c r="B3" s="1">
        <x:v>1.0</x:v>
      </x:c>
    </x:row>
    <x:row r="4">
      <x:c r="A4" s="1">
        <x:v>1.0</x:v>
      </x:c>
      <x:c r="B4" s="1">
        <x:v>1.1</x:v>
      </x:c>
    </x:row>
    <x:row r="5">
      <x:c r="A5" s="1">
        <x:v>1.5</x:v>
      </x:c>
      <x:c r="B5" s="1">
        <x:v>1.1</x:v>
      </x:c>
    </x:row>
    <x:row r="6">
      <x:c r="A6" s="1">
        <x:v>2.0</x:v>
      </x:c>
      <x:c r="B6" s="1">
        <x:v>1.1</x:v>
      </x:c>
    </x:row>
    <x:row r="7">
      <x:c r="A7" s="1">
        <x:v>2.5</x:v>
      </x:c>
      <x:c r="B7" s="1">
        <x:v>1.1</x:v>
      </x:c>
    </x:row>
    <x:row r="8">
      <x:c r="A8" s="1">
        <x:v>3.0</x:v>
      </x:c>
      <x:c r="B8" s="1">
        <x:v>1.2</x:v>
      </x:c>
    </x:row>
    <x:row r="9">
      <x:c r="A9" s="1">
        <x:v>3.5</x:v>
      </x:c>
      <x:c r="B9" s="1">
        <x:v>1.2</x:v>
      </x:c>
    </x:row>
    <x:row r="10">
      <x:c r="A10" s="1">
        <x:v>4.0</x:v>
      </x:c>
      <x:c r="B10" s="1">
        <x:v>1.2</x:v>
      </x:c>
    </x:row>
    <x:row r="11">
      <x:c r="A11" s="1">
        <x:v>4.5</x:v>
      </x:c>
      <x:c r="B11" s="1">
        <x:v>1.2</x:v>
      </x:c>
    </x:row>
    <x:row r="12">
      <x:c r="A12" s="1">
        <x:v>5.0</x:v>
      </x:c>
      <x:c r="B12" s="1">
        <x:v>1.3</x:v>
      </x:c>
    </x:row>
    <x:row r="13">
      <x:c r="A13" s="1">
        <x:v>5.5</x:v>
      </x:c>
      <x:c r="B13" s="1">
        <x:v>1.3</x:v>
      </x:c>
    </x:row>
    <x:row r="14">
      <x:c r="A14" s="1">
        <x:v>6.0</x:v>
      </x:c>
      <x:c r="B14" s="1">
        <x:v>1.3</x:v>
      </x:c>
    </x:row>
    <x:row r="15">
      <x:c r="A15" s="1">
        <x:v>6.5</x:v>
      </x:c>
      <x:c r="B15" s="1">
        <x:v>1.3</x:v>
      </x:c>
    </x:row>
    <x:row r="16">
      <x:c r="A16" s="1">
        <x:v>7.0</x:v>
      </x:c>
      <x:c r="B16" s="1">
        <x:v>1.4</x:v>
      </x:c>
    </x:row>
    <x:row r="17">
      <x:c r="A17" s="1">
        <x:v>7.5</x:v>
      </x:c>
      <x:c r="B17" s="1">
        <x:v>1.4</x:v>
      </x:c>
    </x:row>
    <x:row r="18">
      <x:c r="A18" s="1">
        <x:v>8.0</x:v>
      </x:c>
      <x:c r="B18" s="1">
        <x:v>1.4</x:v>
      </x:c>
    </x:row>
    <x:row r="19">
      <x:c r="A19" s="1">
        <x:v>8.5</x:v>
      </x:c>
      <x:c r="B19" s="1">
        <x:v>1.4</x:v>
      </x:c>
    </x:row>
    <x:row r="20">
      <x:c r="A20" s="1">
        <x:v>9.0</x:v>
      </x:c>
      <x:c r="B20" s="1">
        <x:v>1.5</x:v>
      </x:c>
    </x:row>
    <x:row r="21" ht="15.75" customHeight="1">
      <x:c r="A21" s="1">
        <x:v>9.5</x:v>
      </x:c>
      <x:c r="B21" s="1">
        <x:v>1.5</x:v>
      </x:c>
    </x:row>
    <x:row r="22" ht="15.75" customHeight="1">
      <x:c r="A22" s="1">
        <x:v>10.0</x:v>
      </x:c>
      <x:c r="B22" s="1">
        <x:v>1.5</x:v>
      </x:c>
    </x:row>
    <x:row r="23" ht="15.75" customHeight="1">
      <x:c r="A23" s="1">
        <x:v>10.5</x:v>
      </x:c>
      <x:c r="B23" s="1">
        <x:v>1.5</x:v>
      </x:c>
    </x:row>
    <x:row r="24" ht="15.75" customHeight="1">
      <x:c r="A24" s="1">
        <x:v>11.0</x:v>
      </x:c>
      <x:c r="B24" s="1">
        <x:v>1.6</x:v>
      </x:c>
    </x:row>
    <x:row r="25" ht="15.75" customHeight="1">
      <x:c r="A25" s="1">
        <x:v>11.5</x:v>
      </x:c>
      <x:c r="B25" s="1">
        <x:v>1.6</x:v>
      </x:c>
    </x:row>
    <x:row r="26" ht="15.75" customHeight="1">
      <x:c r="A26" s="1">
        <x:v>12.0</x:v>
      </x:c>
      <x:c r="B26" s="1">
        <x:v>1.6</x:v>
      </x:c>
    </x:row>
    <x:row r="27" ht="15.75" customHeight="1">
      <x:c r="A27" s="1">
        <x:v>12.5</x:v>
      </x:c>
      <x:c r="B27" s="1">
        <x:v>1.6</x:v>
      </x:c>
    </x:row>
    <x:row r="28" ht="15.75" customHeight="1">
      <x:c r="A28" s="1">
        <x:v>13.0</x:v>
      </x:c>
      <x:c r="B28" s="1">
        <x:v>1.7</x:v>
      </x:c>
    </x:row>
    <x:row r="29" ht="15.75" customHeight="1">
      <x:c r="A29" s="1">
        <x:v>13.5</x:v>
      </x:c>
      <x:c r="B29" s="1">
        <x:v>1.7</x:v>
      </x:c>
    </x:row>
    <x:row r="30" ht="15.75" customHeight="1">
      <x:c r="A30" s="1">
        <x:v>14.0</x:v>
      </x:c>
      <x:c r="B30" s="1">
        <x:v>1.7</x:v>
      </x:c>
    </x:row>
    <x:row r="31" ht="15.75" customHeight="1">
      <x:c r="A31" s="1">
        <x:v>14.5</x:v>
      </x:c>
      <x:c r="B31" s="1">
        <x:v>1.7</x:v>
      </x:c>
    </x:row>
    <x:row r="32" ht="15.75" customHeight="1">
      <x:c r="A32" s="1">
        <x:v>15.0</x:v>
      </x:c>
      <x:c r="B32" s="1">
        <x:v>1.8</x:v>
      </x:c>
    </x:row>
    <x:row r="33" ht="15.75" customHeight="1">
      <x:c r="A33" s="1">
        <x:v>15.5</x:v>
      </x:c>
      <x:c r="B33" s="1">
        <x:v>1.8</x:v>
      </x:c>
    </x:row>
    <x:row r="34" ht="15.75" customHeight="1">
      <x:c r="A34" s="1">
        <x:v>16.0</x:v>
      </x:c>
      <x:c r="B34" s="1">
        <x:v>1.8</x:v>
      </x:c>
    </x:row>
    <x:row r="35" ht="15.75" customHeight="1">
      <x:c r="A35" s="1">
        <x:v>16.5</x:v>
      </x:c>
      <x:c r="B35" s="1">
        <x:v>1.8</x:v>
      </x:c>
    </x:row>
    <x:row r="36" ht="15.75" customHeight="1">
      <x:c r="A36" s="1">
        <x:v>17.0</x:v>
      </x:c>
      <x:c r="B36" s="1">
        <x:v>1.9</x:v>
      </x:c>
    </x:row>
    <x:row r="37" ht="15.75" customHeight="1">
      <x:c r="A37" s="1">
        <x:v>17.5</x:v>
      </x:c>
      <x:c r="B37" s="1">
        <x:v>1.9</x:v>
      </x:c>
    </x:row>
    <x:row r="38" ht="15.75" customHeight="1">
      <x:c r="A38" s="1">
        <x:v>18.0</x:v>
      </x:c>
      <x:c r="B38" s="1">
        <x:v>1.9</x:v>
      </x:c>
    </x:row>
    <x:row r="39" ht="15.75" customHeight="1">
      <x:c r="A39" s="1">
        <x:v>18.5</x:v>
      </x:c>
      <x:c r="B39" s="1">
        <x:v>1.9</x:v>
      </x:c>
    </x:row>
    <x:row r="40" ht="15.75" customHeight="1">
      <x:c r="A40" s="1">
        <x:v>19.0</x:v>
      </x:c>
      <x:c r="B40" s="1">
        <x:v>2.0</x:v>
      </x:c>
    </x:row>
    <x:row r="41" ht="15.75" customHeight="1">
      <x:c r="A41" s="1">
        <x:v>19.5</x:v>
      </x:c>
      <x:c r="B41" s="1">
        <x:v>2.0</x:v>
      </x:c>
    </x:row>
    <x:row r="42" ht="15.75" customHeight="1">
      <x:c r="A42" s="1">
        <x:v>20.0</x:v>
      </x:c>
      <x:c r="B42" s="1">
        <x:v>2.0</x:v>
      </x:c>
    </x:row>
    <x:row r="43" ht="15.75" customHeight="1">
      <x:c r="A43" s="1">
        <x:v>20.5</x:v>
      </x:c>
      <x:c r="B43" s="1">
        <x:v>2.0</x:v>
      </x:c>
    </x:row>
    <x:row r="44" ht="15.75" customHeight="1">
      <x:c r="A44" s="1">
        <x:v>21.0</x:v>
      </x:c>
      <x:c r="B44" s="1">
        <x:v>2.1</x:v>
      </x:c>
    </x:row>
    <x:row r="45" ht="15.75" customHeight="1">
      <x:c r="A45" s="1">
        <x:v>21.5</x:v>
      </x:c>
      <x:c r="B45" s="1">
        <x:v>2.1</x:v>
      </x:c>
    </x:row>
    <x:row r="46" ht="15.75" customHeight="1">
      <x:c r="A46" s="1">
        <x:v>22.0</x:v>
      </x:c>
      <x:c r="B46" s="1">
        <x:v>2.1</x:v>
      </x:c>
    </x:row>
    <x:row r="47" ht="15.75" customHeight="1">
      <x:c r="A47" s="1">
        <x:v>22.5</x:v>
      </x:c>
      <x:c r="B47" s="1">
        <x:v>2.1</x:v>
      </x:c>
    </x:row>
    <x:row r="48" ht="15.75" customHeight="1">
      <x:c r="A48" s="1">
        <x:v>23.0</x:v>
      </x:c>
      <x:c r="B48" s="1">
        <x:v>2.2</x:v>
      </x:c>
    </x:row>
    <x:row r="49" ht="15.75" customHeight="1">
      <x:c r="A49" s="1">
        <x:v>23.5</x:v>
      </x:c>
      <x:c r="B49" s="1">
        <x:v>2.2</x:v>
      </x:c>
    </x:row>
    <x:row r="50" ht="15.75" customHeight="1">
      <x:c r="A50" s="1">
        <x:v>24.0</x:v>
      </x:c>
      <x:c r="B50" s="1">
        <x:v>2.2</x:v>
      </x:c>
    </x:row>
    <x:row r="51" ht="15.75" customHeight="1">
      <x:c r="A51" s="1">
        <x:v>24.5</x:v>
      </x:c>
      <x:c r="B51" s="1">
        <x:v>2.2</x:v>
      </x:c>
    </x:row>
    <x:row r="52" ht="15.75" customHeight="1">
      <x:c r="A52" s="1">
        <x:v>25.0</x:v>
      </x:c>
      <x:c r="B52" s="1">
        <x:v>2.3</x:v>
      </x:c>
    </x:row>
    <x:row r="53" ht="15.75" customHeight="1">
      <x:c r="A53" s="1">
        <x:v>25.5</x:v>
      </x:c>
      <x:c r="B53" s="1">
        <x:v>2.3</x:v>
      </x:c>
    </x:row>
    <x:row r="54" ht="15.75" customHeight="1">
      <x:c r="A54" s="1">
        <x:v>26.0</x:v>
      </x:c>
      <x:c r="B54" s="1">
        <x:v>2.3</x:v>
      </x:c>
    </x:row>
    <x:row r="55" ht="15.75" customHeight="1">
      <x:c r="A55" s="1">
        <x:v>26.5</x:v>
      </x:c>
      <x:c r="B55" s="1">
        <x:v>2.3</x:v>
      </x:c>
    </x:row>
    <x:row r="56" ht="15.75" customHeight="1">
      <x:c r="A56" s="1">
        <x:v>27.0</x:v>
      </x:c>
      <x:c r="B56" s="1">
        <x:v>2.4</x:v>
      </x:c>
    </x:row>
    <x:row r="57" ht="15.75" customHeight="1">
      <x:c r="A57" s="1">
        <x:v>27.5</x:v>
      </x:c>
      <x:c r="B57" s="1">
        <x:v>2.4</x:v>
      </x:c>
    </x:row>
    <x:row r="58" ht="15.75" customHeight="1">
      <x:c r="A58" s="1">
        <x:v>28.0</x:v>
      </x:c>
      <x:c r="B58" s="1">
        <x:v>2.4</x:v>
      </x:c>
    </x:row>
    <x:row r="59" ht="15.75" customHeight="1">
      <x:c r="A59" s="1">
        <x:v>28.5</x:v>
      </x:c>
      <x:c r="B59" s="1">
        <x:v>2.4</x:v>
      </x:c>
    </x:row>
    <x:row r="60" ht="15.75" customHeight="1">
      <x:c r="A60" s="1">
        <x:v>29.0</x:v>
      </x:c>
      <x:c r="B60" s="1">
        <x:v>2.5</x:v>
      </x:c>
    </x:row>
    <x:row r="61" ht="15.75" customHeight="1">
      <x:c r="A61" s="1">
        <x:v>29.5</x:v>
      </x:c>
      <x:c r="B61" s="1">
        <x:v>2.5</x:v>
      </x:c>
    </x:row>
    <x:row r="62" ht="15.75" customHeight="1">
      <x:c r="A62" s="1">
        <x:v>30.0</x:v>
      </x:c>
      <x:c r="B62" s="1">
        <x:v>2.5</x:v>
      </x:c>
    </x:row>
    <x:row r="63" ht="15.75" customHeight="1">
      <x:c r="A63" s="1">
        <x:v>30.5</x:v>
      </x:c>
      <x:c r="B63" s="1">
        <x:v>2.5</x:v>
      </x:c>
    </x:row>
    <x:row r="64" ht="15.75" customHeight="1">
      <x:c r="A64" s="1">
        <x:v>31.0</x:v>
      </x:c>
      <x:c r="B64" s="1">
        <x:v>2.6</x:v>
      </x:c>
    </x:row>
    <x:row r="65" ht="15.75" customHeight="1">
      <x:c r="A65" s="1">
        <x:v>31.5</x:v>
      </x:c>
      <x:c r="B65" s="1">
        <x:v>2.6</x:v>
      </x:c>
    </x:row>
    <x:row r="66" ht="15.75" customHeight="1">
      <x:c r="A66" s="1">
        <x:v>32.0</x:v>
      </x:c>
      <x:c r="B66" s="1">
        <x:v>2.6</x:v>
      </x:c>
    </x:row>
    <x:row r="67" ht="15.75" customHeight="1">
      <x:c r="A67" s="1">
        <x:v>32.5</x:v>
      </x:c>
      <x:c r="B67" s="1">
        <x:v>2.6</x:v>
      </x:c>
    </x:row>
    <x:row r="68" ht="15.75" customHeight="1">
      <x:c r="A68" s="1">
        <x:v>33.0</x:v>
      </x:c>
      <x:c r="B68" s="1">
        <x:v>2.7</x:v>
      </x:c>
    </x:row>
    <x:row r="69" ht="15.75" customHeight="1">
      <x:c r="A69" s="1">
        <x:v>33.5</x:v>
      </x:c>
      <x:c r="B69" s="1">
        <x:v>2.7</x:v>
      </x:c>
    </x:row>
    <x:row r="70" ht="15.75" customHeight="1">
      <x:c r="A70" s="1">
        <x:v>34.0</x:v>
      </x:c>
      <x:c r="B70" s="1">
        <x:v>2.7</x:v>
      </x:c>
    </x:row>
    <x:row r="71" ht="15.75" customHeight="1">
      <x:c r="A71" s="1">
        <x:v>34.5</x:v>
      </x:c>
      <x:c r="B71" s="1">
        <x:v>2.7</x:v>
      </x:c>
    </x:row>
    <x:row r="72" ht="15.75" customHeight="1">
      <x:c r="A72" s="1">
        <x:v>35.0</x:v>
      </x:c>
      <x:c r="B72" s="1">
        <x:v>2.8</x:v>
      </x:c>
    </x:row>
    <x:row r="73" ht="15.75" customHeight="1">
      <x:c r="A73" s="1">
        <x:v>35.5</x:v>
      </x:c>
      <x:c r="B73" s="1">
        <x:v>2.8</x:v>
      </x:c>
    </x:row>
    <x:row r="74" ht="15.75" customHeight="1">
      <x:c r="A74" s="1">
        <x:v>36.0</x:v>
      </x:c>
      <x:c r="B74" s="1">
        <x:v>2.8</x:v>
      </x:c>
    </x:row>
    <x:row r="75" ht="15.75" customHeight="1">
      <x:c r="A75" s="1">
        <x:v>36.5</x:v>
      </x:c>
      <x:c r="B75" s="1">
        <x:v>2.8</x:v>
      </x:c>
    </x:row>
    <x:row r="76" ht="15.75" customHeight="1">
      <x:c r="A76" s="1">
        <x:v>37.0</x:v>
      </x:c>
      <x:c r="B76" s="1">
        <x:v>2.9</x:v>
      </x:c>
    </x:row>
    <x:row r="77" ht="15.75" customHeight="1">
      <x:c r="A77" s="1">
        <x:v>37.5</x:v>
      </x:c>
      <x:c r="B77" s="1">
        <x:v>2.9</x:v>
      </x:c>
    </x:row>
    <x:row r="78" ht="15.75" customHeight="1">
      <x:c r="A78" s="1">
        <x:v>38.0</x:v>
      </x:c>
      <x:c r="B78" s="1">
        <x:v>2.9</x:v>
      </x:c>
    </x:row>
    <x:row r="79" ht="15.75" customHeight="1">
      <x:c r="A79" s="1">
        <x:v>38.5</x:v>
      </x:c>
      <x:c r="B79" s="1">
        <x:v>2.9</x:v>
      </x:c>
    </x:row>
    <x:row r="80" ht="15.75" customHeight="1">
      <x:c r="A80" s="1">
        <x:v>39.0</x:v>
      </x:c>
      <x:c r="B80" s="1">
        <x:v>3.0</x:v>
      </x:c>
    </x:row>
    <x:row r="81" ht="15.75" customHeight="1">
      <x:c r="A81" s="1">
        <x:v>39.5</x:v>
      </x:c>
      <x:c r="B81" s="1">
        <x:v>3.0</x:v>
      </x:c>
    </x:row>
    <x:row r="82" ht="15.75" customHeight="1">
      <x:c r="A82" s="1">
        <x:v>40.0</x:v>
      </x:c>
      <x:c r="B82" s="1">
        <x:v>3.0</x:v>
      </x:c>
    </x:row>
    <x:row r="83" ht="15.75" customHeight="1">
      <x:c r="A83" s="1">
        <x:v>40.5</x:v>
      </x:c>
      <x:c r="B83" s="1">
        <x:v>3.0</x:v>
      </x:c>
    </x:row>
    <x:row r="84" ht="15.75" customHeight="1">
      <x:c r="A84" s="1">
        <x:v>41.0</x:v>
      </x:c>
      <x:c r="B84" s="1">
        <x:v>3.1</x:v>
      </x:c>
    </x:row>
    <x:row r="85" ht="15.75" customHeight="1">
      <x:c r="A85" s="1">
        <x:v>41.5</x:v>
      </x:c>
      <x:c r="B85" s="1">
        <x:v>3.1</x:v>
      </x:c>
    </x:row>
    <x:row r="86" ht="15.75" customHeight="1">
      <x:c r="A86" s="1">
        <x:v>42.0</x:v>
      </x:c>
      <x:c r="B86" s="1">
        <x:v>3.1</x:v>
      </x:c>
    </x:row>
    <x:row r="87" ht="15.75" customHeight="1">
      <x:c r="A87" s="1">
        <x:v>42.5</x:v>
      </x:c>
      <x:c r="B87" s="1">
        <x:v>3.1</x:v>
      </x:c>
    </x:row>
    <x:row r="88" ht="15.75" customHeight="1">
      <x:c r="A88" s="1">
        <x:v>43.0</x:v>
      </x:c>
      <x:c r="B88" s="1">
        <x:v>3.2</x:v>
      </x:c>
    </x:row>
    <x:row r="89" ht="15.75" customHeight="1">
      <x:c r="A89" s="1">
        <x:v>43.5</x:v>
      </x:c>
      <x:c r="B89" s="1">
        <x:v>3.2</x:v>
      </x:c>
    </x:row>
    <x:row r="90" ht="15.75" customHeight="1">
      <x:c r="A90" s="1">
        <x:v>44.0</x:v>
      </x:c>
      <x:c r="B90" s="1">
        <x:v>3.2</x:v>
      </x:c>
    </x:row>
    <x:row r="91" ht="15.75" customHeight="1">
      <x:c r="A91" s="1">
        <x:v>44.5</x:v>
      </x:c>
      <x:c r="B91" s="1">
        <x:v>3.2</x:v>
      </x:c>
    </x:row>
    <x:row r="92" ht="15.75" customHeight="1">
      <x:c r="A92" s="1">
        <x:v>45.0</x:v>
      </x:c>
      <x:c r="B92" s="1">
        <x:v>3.3</x:v>
      </x:c>
    </x:row>
    <x:row r="93" ht="15.75" customHeight="1">
      <x:c r="A93" s="1">
        <x:v>45.5</x:v>
      </x:c>
      <x:c r="B93" s="1">
        <x:v>3.3</x:v>
      </x:c>
    </x:row>
    <x:row r="94" ht="15.75" customHeight="1">
      <x:c r="A94" s="1">
        <x:v>46.0</x:v>
      </x:c>
      <x:c r="B94" s="1">
        <x:v>3.3</x:v>
      </x:c>
    </x:row>
    <x:row r="95" ht="15.75" customHeight="1">
      <x:c r="A95" s="1">
        <x:v>46.5</x:v>
      </x:c>
      <x:c r="B95" s="1">
        <x:v>3.3</x:v>
      </x:c>
    </x:row>
    <x:row r="96" ht="15.75" customHeight="1">
      <x:c r="A96" s="1">
        <x:v>47.0</x:v>
      </x:c>
      <x:c r="B96" s="1">
        <x:v>3.4</x:v>
      </x:c>
    </x:row>
    <x:row r="97" ht="15.75" customHeight="1">
      <x:c r="A97" s="1">
        <x:v>47.5</x:v>
      </x:c>
      <x:c r="B97" s="1">
        <x:v>3.4</x:v>
      </x:c>
    </x:row>
    <x:row r="98" ht="15.75" customHeight="1">
      <x:c r="A98" s="1">
        <x:v>48.0</x:v>
      </x:c>
      <x:c r="B98" s="1">
        <x:v>3.4</x:v>
      </x:c>
    </x:row>
    <x:row r="99" ht="15.75" customHeight="1">
      <x:c r="A99" s="1">
        <x:v>48.5</x:v>
      </x:c>
      <x:c r="B99" s="1">
        <x:v>3.4</x:v>
      </x:c>
    </x:row>
    <x:row r="100" ht="15.75" customHeight="1">
      <x:c r="A100" s="1">
        <x:v>49.0</x:v>
      </x:c>
      <x:c r="B100" s="1">
        <x:v>3.5</x:v>
      </x:c>
    </x:row>
    <x:row r="101" ht="15.75" customHeight="1">
      <x:c r="A101" s="1">
        <x:v>49.5</x:v>
      </x:c>
      <x:c r="B101" s="1">
        <x:v>3.5</x:v>
      </x:c>
    </x:row>
    <x:row r="102" ht="15.75" customHeight="1">
      <x:c r="A102" s="1">
        <x:v>50.0</x:v>
      </x:c>
      <x:c r="B102" s="1">
        <x:v>3.5</x:v>
      </x:c>
    </x:row>
    <x:row r="103" ht="15.75" customHeight="1">
      <x:c r="A103" s="1">
        <x:v>50.5</x:v>
      </x:c>
      <x:c r="B103" s="1">
        <x:v>3.5</x:v>
      </x:c>
    </x:row>
    <x:row r="104" ht="15.75" customHeight="1">
      <x:c r="A104" s="1">
        <x:v>51.0</x:v>
      </x:c>
      <x:c r="B104" s="1">
        <x:v>3.6</x:v>
      </x:c>
    </x:row>
    <x:row r="105" ht="15.75" customHeight="1">
      <x:c r="A105" s="1">
        <x:v>51.5</x:v>
      </x:c>
      <x:c r="B105" s="1">
        <x:v>3.6</x:v>
      </x:c>
    </x:row>
    <x:row r="106" ht="15.75" customHeight="1">
      <x:c r="A106" s="1">
        <x:v>52.0</x:v>
      </x:c>
      <x:c r="B106" s="1">
        <x:v>3.6</x:v>
      </x:c>
    </x:row>
    <x:row r="107" ht="15.75" customHeight="1">
      <x:c r="A107" s="1">
        <x:v>52.5</x:v>
      </x:c>
      <x:c r="B107" s="1">
        <x:v>3.6</x:v>
      </x:c>
    </x:row>
    <x:row r="108" ht="15.75" customHeight="1">
      <x:c r="A108" s="1">
        <x:v>53.0</x:v>
      </x:c>
      <x:c r="B108" s="1">
        <x:v>3.7</x:v>
      </x:c>
    </x:row>
    <x:row r="109" ht="15.75" customHeight="1">
      <x:c r="A109" s="1">
        <x:v>53.5</x:v>
      </x:c>
      <x:c r="B109" s="1">
        <x:v>3.7</x:v>
      </x:c>
    </x:row>
    <x:row r="110" ht="15.75" customHeight="1">
      <x:c r="A110" s="1">
        <x:v>54.0</x:v>
      </x:c>
      <x:c r="B110" s="1">
        <x:v>3.7</x:v>
      </x:c>
    </x:row>
    <x:row r="111" ht="15.75" customHeight="1">
      <x:c r="A111" s="1">
        <x:v>54.5</x:v>
      </x:c>
      <x:c r="B111" s="1">
        <x:v>3.7</x:v>
      </x:c>
    </x:row>
    <x:row r="112" ht="15.75" customHeight="1">
      <x:c r="A112" s="1">
        <x:v>55.0</x:v>
      </x:c>
      <x:c r="B112" s="1">
        <x:v>3.8</x:v>
      </x:c>
    </x:row>
    <x:row r="113" ht="15.75" customHeight="1">
      <x:c r="A113" s="1">
        <x:v>55.5</x:v>
      </x:c>
      <x:c r="B113" s="1">
        <x:v>3.8</x:v>
      </x:c>
    </x:row>
    <x:row r="114" ht="15.75" customHeight="1">
      <x:c r="A114" s="1">
        <x:v>56.0</x:v>
      </x:c>
      <x:c r="B114" s="1">
        <x:v>3.8</x:v>
      </x:c>
    </x:row>
    <x:row r="115" ht="15.75" customHeight="1">
      <x:c r="A115" s="1">
        <x:v>56.5</x:v>
      </x:c>
      <x:c r="B115" s="1">
        <x:v>3.8</x:v>
      </x:c>
    </x:row>
    <x:row r="116" ht="15.75" customHeight="1">
      <x:c r="A116" s="1">
        <x:v>57.0</x:v>
      </x:c>
      <x:c r="B116" s="1">
        <x:v>3.9</x:v>
      </x:c>
    </x:row>
    <x:row r="117" ht="15.75" customHeight="1">
      <x:c r="A117" s="1">
        <x:v>57.5</x:v>
      </x:c>
      <x:c r="B117" s="1">
        <x:v>3.9</x:v>
      </x:c>
    </x:row>
    <x:row r="118" ht="15.75" customHeight="1">
      <x:c r="A118" s="1">
        <x:v>58.0</x:v>
      </x:c>
      <x:c r="B118" s="1">
        <x:v>3.9</x:v>
      </x:c>
    </x:row>
    <x:row r="119" ht="15.75" customHeight="1">
      <x:c r="A119" s="1">
        <x:v>58.5</x:v>
      </x:c>
      <x:c r="B119" s="1">
        <x:v>3.9</x:v>
      </x:c>
    </x:row>
    <x:row r="120" ht="15.75" customHeight="1">
      <x:c r="A120" s="1">
        <x:v>59.0</x:v>
      </x:c>
      <x:c r="B120" s="1">
        <x:v>4.0</x:v>
      </x:c>
    </x:row>
    <x:row r="121" ht="15.75" customHeight="1">
      <x:c r="A121" s="1">
        <x:v>59.5</x:v>
      </x:c>
      <x:c r="B121" s="1">
        <x:v>4.0</x:v>
      </x:c>
    </x:row>
    <x:row r="122" ht="15.75" customHeight="1">
      <x:c r="A122" s="1">
        <x:v>60.0</x:v>
      </x:c>
      <x:c r="B122" s="1">
        <x:v>4.0</x:v>
      </x:c>
    </x:row>
    <x:row r="123" ht="15.75" customHeight="1">
      <x:c r="A123" s="1">
        <x:v>60.5</x:v>
      </x:c>
      <x:c r="B123" s="1">
        <x:v>4.0</x:v>
      </x:c>
    </x:row>
    <x:row r="124" ht="15.75" customHeight="1">
      <x:c r="A124" s="1">
        <x:v>61.0</x:v>
      </x:c>
      <x:c r="B124" s="1">
        <x:v>4.1</x:v>
      </x:c>
    </x:row>
    <x:row r="125" ht="15.75" customHeight="1">
      <x:c r="A125" s="1">
        <x:v>61.5</x:v>
      </x:c>
      <x:c r="B125" s="1">
        <x:v>4.1</x:v>
      </x:c>
    </x:row>
    <x:row r="126" ht="15.75" customHeight="1">
      <x:c r="A126" s="1">
        <x:v>62.0</x:v>
      </x:c>
      <x:c r="B126" s="1">
        <x:v>4.2</x:v>
      </x:c>
    </x:row>
    <x:row r="127" ht="15.75" customHeight="1">
      <x:c r="A127" s="1">
        <x:v>62.5</x:v>
      </x:c>
      <x:c r="B127" s="1">
        <x:v>4.2</x:v>
      </x:c>
    </x:row>
    <x:row r="128" ht="15.75" customHeight="1">
      <x:c r="A128" s="1">
        <x:v>63.0</x:v>
      </x:c>
      <x:c r="B128" s="1">
        <x:v>4.2</x:v>
      </x:c>
    </x:row>
    <x:row r="129" ht="15.75" customHeight="1">
      <x:c r="A129" s="1">
        <x:v>63.5</x:v>
      </x:c>
      <x:c r="B129" s="1">
        <x:v>4.3</x:v>
      </x:c>
    </x:row>
    <x:row r="130" ht="15.75" customHeight="1">
      <x:c r="A130" s="1">
        <x:v>64.0</x:v>
      </x:c>
      <x:c r="B130" s="1">
        <x:v>4.3</x:v>
      </x:c>
    </x:row>
    <x:row r="131" ht="15.75" customHeight="1">
      <x:c r="A131" s="1">
        <x:v>64.5</x:v>
      </x:c>
      <x:c r="B131" s="1">
        <x:v>4.3</x:v>
      </x:c>
    </x:row>
    <x:row r="132" ht="15.75" customHeight="1">
      <x:c r="A132" s="1">
        <x:v>65.0</x:v>
      </x:c>
      <x:c r="B132" s="1">
        <x:v>4.4</x:v>
      </x:c>
    </x:row>
    <x:row r="133" ht="15.75" customHeight="1">
      <x:c r="A133" s="1">
        <x:v>65.5</x:v>
      </x:c>
      <x:c r="B133" s="1">
        <x:v>4.4</x:v>
      </x:c>
    </x:row>
    <x:row r="134" ht="15.75" customHeight="1">
      <x:c r="A134" s="1">
        <x:v>66.0</x:v>
      </x:c>
      <x:c r="B134" s="1">
        <x:v>4.5</x:v>
      </x:c>
    </x:row>
    <x:row r="135" ht="15.75" customHeight="1">
      <x:c r="A135" s="1">
        <x:v>66.5</x:v>
      </x:c>
      <x:c r="B135" s="1">
        <x:v>4.5</x:v>
      </x:c>
    </x:row>
    <x:row r="136" ht="15.75" customHeight="1">
      <x:c r="A136" s="1">
        <x:v>67.0</x:v>
      </x:c>
      <x:c r="B136" s="1">
        <x:v>4.5</x:v>
      </x:c>
    </x:row>
    <x:row r="137" ht="15.75" customHeight="1">
      <x:c r="A137" s="1">
        <x:v>67.5</x:v>
      </x:c>
      <x:c r="B137" s="1">
        <x:v>4.6</x:v>
      </x:c>
    </x:row>
    <x:row r="138" ht="15.75" customHeight="1">
      <x:c r="A138" s="1">
        <x:v>68.0</x:v>
      </x:c>
      <x:c r="B138" s="1">
        <x:v>4.6</x:v>
      </x:c>
    </x:row>
    <x:row r="139" ht="15.75" customHeight="1">
      <x:c r="A139" s="1">
        <x:v>68.5</x:v>
      </x:c>
      <x:c r="B139" s="1">
        <x:v>4.6</x:v>
      </x:c>
    </x:row>
    <x:row r="140" ht="15.75" customHeight="1">
      <x:c r="A140" s="1">
        <x:v>69.0</x:v>
      </x:c>
      <x:c r="B140" s="1">
        <x:v>4.7</x:v>
      </x:c>
    </x:row>
    <x:row r="141" ht="15.75" customHeight="1">
      <x:c r="A141" s="1">
        <x:v>69.5</x:v>
      </x:c>
      <x:c r="B141" s="1">
        <x:v>4.7</x:v>
      </x:c>
    </x:row>
    <x:row r="142" ht="15.75" customHeight="1">
      <x:c r="A142" s="1">
        <x:v>70.0</x:v>
      </x:c>
      <x:c r="B142" s="1">
        <x:v>4.8</x:v>
      </x:c>
    </x:row>
    <x:row r="143" ht="15.75" customHeight="1">
      <x:c r="A143" s="1">
        <x:v>70.5</x:v>
      </x:c>
      <x:c r="B143" s="1">
        <x:v>4.8</x:v>
      </x:c>
    </x:row>
    <x:row r="144" ht="15.75" customHeight="1">
      <x:c r="A144" s="1">
        <x:v>71.0</x:v>
      </x:c>
      <x:c r="B144" s="1">
        <x:v>4.8</x:v>
      </x:c>
    </x:row>
    <x:row r="145" ht="15.75" customHeight="1">
      <x:c r="A145" s="1">
        <x:v>71.5</x:v>
      </x:c>
      <x:c r="B145" s="1">
        <x:v>4.9</x:v>
      </x:c>
    </x:row>
    <x:row r="146" ht="15.75" customHeight="1">
      <x:c r="A146" s="1">
        <x:v>72.0</x:v>
      </x:c>
      <x:c r="B146" s="1">
        <x:v>4.9</x:v>
      </x:c>
    </x:row>
    <x:row r="147" ht="15.75" customHeight="1">
      <x:c r="A147" s="1">
        <x:v>72.5</x:v>
      </x:c>
      <x:c r="B147" s="1">
        <x:v>4.9</x:v>
      </x:c>
    </x:row>
    <x:row r="148" ht="15.75" customHeight="1">
      <x:c r="A148" s="1">
        <x:v>73.0</x:v>
      </x:c>
      <x:c r="B148" s="1">
        <x:v>5.0</x:v>
      </x:c>
    </x:row>
    <x:row r="149" ht="15.75" customHeight="1">
      <x:c r="A149" s="1">
        <x:v>73.5</x:v>
      </x:c>
      <x:c r="B149" s="1">
        <x:v>5.0</x:v>
      </x:c>
    </x:row>
    <x:row r="150" ht="15.75" customHeight="1">
      <x:c r="A150" s="1">
        <x:v>74.0</x:v>
      </x:c>
      <x:c r="B150" s="1">
        <x:v>5.1</x:v>
      </x:c>
    </x:row>
    <x:row r="151" ht="15.75" customHeight="1">
      <x:c r="A151" s="1">
        <x:v>74.5</x:v>
      </x:c>
      <x:c r="B151" s="1">
        <x:v>5.1</x:v>
      </x:c>
    </x:row>
    <x:row r="152" ht="15.75" customHeight="1">
      <x:c r="A152" s="1">
        <x:v>75.0</x:v>
      </x:c>
      <x:c r="B152" s="1">
        <x:v>5.1</x:v>
      </x:c>
    </x:row>
    <x:row r="153" ht="15.75" customHeight="1">
      <x:c r="A153" s="1">
        <x:v>75.5</x:v>
      </x:c>
      <x:c r="B153" s="1">
        <x:v>5.2</x:v>
      </x:c>
    </x:row>
    <x:row r="154" ht="15.75" customHeight="1">
      <x:c r="A154" s="1">
        <x:v>76.0</x:v>
      </x:c>
      <x:c r="B154" s="1">
        <x:v>5.2</x:v>
      </x:c>
    </x:row>
    <x:row r="155" ht="15.75" customHeight="1">
      <x:c r="A155" s="1">
        <x:v>76.5</x:v>
      </x:c>
      <x:c r="B155" s="1">
        <x:v>5.2</x:v>
      </x:c>
    </x:row>
    <x:row r="156" ht="15.75" customHeight="1">
      <x:c r="A156" s="1">
        <x:v>77.0</x:v>
      </x:c>
      <x:c r="B156" s="1">
        <x:v>5.3</x:v>
      </x:c>
    </x:row>
    <x:row r="157" ht="15.75" customHeight="1">
      <x:c r="A157" s="1">
        <x:v>77.5</x:v>
      </x:c>
      <x:c r="B157" s="1">
        <x:v>5.3</x:v>
      </x:c>
    </x:row>
    <x:row r="158" ht="15.75" customHeight="1">
      <x:c r="A158" s="1">
        <x:v>78.0</x:v>
      </x:c>
      <x:c r="B158" s="1">
        <x:v>5.4</x:v>
      </x:c>
    </x:row>
    <x:row r="159" ht="15.75" customHeight="1">
      <x:c r="A159" s="1">
        <x:v>78.5</x:v>
      </x:c>
      <x:c r="B159" s="1">
        <x:v>5.4</x:v>
      </x:c>
    </x:row>
    <x:row r="160" ht="15.75" customHeight="1">
      <x:c r="A160" s="1">
        <x:v>79.0</x:v>
      </x:c>
      <x:c r="B160" s="1">
        <x:v>5.4</x:v>
      </x:c>
    </x:row>
    <x:row r="161" ht="15.75" customHeight="1">
      <x:c r="A161" s="1">
        <x:v>79.5</x:v>
      </x:c>
      <x:c r="B161" s="1">
        <x:v>5.5</x:v>
      </x:c>
    </x:row>
    <x:row r="162" ht="15.75" customHeight="1">
      <x:c r="A162" s="1">
        <x:v>80.0</x:v>
      </x:c>
      <x:c r="B162" s="1">
        <x:v>5.5</x:v>
      </x:c>
    </x:row>
    <x:row r="163" ht="15.75" customHeight="1">
      <x:c r="A163" s="1">
        <x:v>80.5</x:v>
      </x:c>
      <x:c r="B163" s="1">
        <x:v>5.5</x:v>
      </x:c>
    </x:row>
    <x:row r="164" ht="15.75" customHeight="1">
      <x:c r="A164" s="1">
        <x:v>81.0</x:v>
      </x:c>
      <x:c r="B164" s="1">
        <x:v>5.6</x:v>
      </x:c>
    </x:row>
    <x:row r="165" ht="15.75" customHeight="1">
      <x:c r="A165" s="1">
        <x:v>81.5</x:v>
      </x:c>
      <x:c r="B165" s="1">
        <x:v>5.6</x:v>
      </x:c>
    </x:row>
    <x:row r="166" ht="15.75" customHeight="1">
      <x:c r="A166" s="1">
        <x:v>82.0</x:v>
      </x:c>
      <x:c r="B166" s="1">
        <x:v>5.7</x:v>
      </x:c>
    </x:row>
    <x:row r="167" ht="15.75" customHeight="1">
      <x:c r="A167" s="1">
        <x:v>82.5</x:v>
      </x:c>
      <x:c r="B167" s="1">
        <x:v>5.7</x:v>
      </x:c>
    </x:row>
    <x:row r="168" ht="15.75" customHeight="1">
      <x:c r="A168" s="1">
        <x:v>83.0</x:v>
      </x:c>
      <x:c r="B168" s="1">
        <x:v>5.7</x:v>
      </x:c>
    </x:row>
    <x:row r="169" ht="15.75" customHeight="1">
      <x:c r="A169" s="1">
        <x:v>83.5</x:v>
      </x:c>
      <x:c r="B169" s="1">
        <x:v>5.8</x:v>
      </x:c>
    </x:row>
    <x:row r="170" ht="15.75" customHeight="1">
      <x:c r="A170" s="1">
        <x:v>84.0</x:v>
      </x:c>
      <x:c r="B170" s="1">
        <x:v>5.8</x:v>
      </x:c>
    </x:row>
    <x:row r="171" ht="15.75" customHeight="1">
      <x:c r="A171" s="1">
        <x:v>84.5</x:v>
      </x:c>
      <x:c r="B171" s="1">
        <x:v>5.8</x:v>
      </x:c>
    </x:row>
    <x:row r="172" ht="15.75" customHeight="1">
      <x:c r="A172" s="1">
        <x:v>85.0</x:v>
      </x:c>
      <x:c r="B172" s="1">
        <x:v>5.9</x:v>
      </x:c>
    </x:row>
    <x:row r="173" ht="15.75" customHeight="1">
      <x:c r="A173" s="1">
        <x:v>85.5</x:v>
      </x:c>
      <x:c r="B173" s="1">
        <x:v>5.9</x:v>
      </x:c>
    </x:row>
    <x:row r="174" ht="15.75" customHeight="1">
      <x:c r="A174" s="1">
        <x:v>86.0</x:v>
      </x:c>
      <x:c r="B174" s="1">
        <x:v>6.0</x:v>
      </x:c>
    </x:row>
    <x:row r="175" ht="15.75" customHeight="1">
      <x:c r="A175" s="1">
        <x:v>86.5</x:v>
      </x:c>
      <x:c r="B175" s="1">
        <x:v>6.0</x:v>
      </x:c>
    </x:row>
    <x:row r="176" ht="15.75" customHeight="1">
      <x:c r="A176" s="1">
        <x:v>87.0</x:v>
      </x:c>
      <x:c r="B176" s="1">
        <x:v>6.0</x:v>
      </x:c>
    </x:row>
    <x:row r="177" ht="15.75" customHeight="1">
      <x:c r="A177" s="1">
        <x:v>87.5</x:v>
      </x:c>
      <x:c r="B177" s="1">
        <x:v>6.1</x:v>
      </x:c>
    </x:row>
    <x:row r="178" ht="15.75" customHeight="1">
      <x:c r="A178" s="1">
        <x:v>88.0</x:v>
      </x:c>
      <x:c r="B178" s="1">
        <x:v>6.1</x:v>
      </x:c>
    </x:row>
    <x:row r="179" ht="15.75" customHeight="1">
      <x:c r="A179" s="1">
        <x:v>88.5</x:v>
      </x:c>
      <x:c r="B179" s="1">
        <x:v>6.1</x:v>
      </x:c>
    </x:row>
    <x:row r="180" ht="15.75" customHeight="1">
      <x:c r="A180" s="1">
        <x:v>89.0</x:v>
      </x:c>
      <x:c r="B180" s="1">
        <x:v>6.2</x:v>
      </x:c>
    </x:row>
    <x:row r="181" ht="15.75" customHeight="1">
      <x:c r="A181" s="1">
        <x:v>89.5</x:v>
      </x:c>
      <x:c r="B181" s="1">
        <x:v>6.2</x:v>
      </x:c>
    </x:row>
    <x:row r="182" ht="15.75" customHeight="1">
      <x:c r="A182" s="1">
        <x:v>90.0</x:v>
      </x:c>
      <x:c r="B182" s="1">
        <x:v>6.3</x:v>
      </x:c>
    </x:row>
    <x:row r="183" ht="15.75" customHeight="1">
      <x:c r="A183" s="1">
        <x:v>90.5</x:v>
      </x:c>
      <x:c r="B183" s="1">
        <x:v>6.3</x:v>
      </x:c>
    </x:row>
    <x:row r="184" ht="15.75" customHeight="1">
      <x:c r="A184" s="1">
        <x:v>91.0</x:v>
      </x:c>
      <x:c r="B184" s="1">
        <x:v>6.3</x:v>
      </x:c>
    </x:row>
    <x:row r="185" ht="15.75" customHeight="1">
      <x:c r="A185" s="1">
        <x:v>91.5</x:v>
      </x:c>
      <x:c r="B185" s="1">
        <x:v>6.4</x:v>
      </x:c>
    </x:row>
    <x:row r="186" ht="15.75" customHeight="1">
      <x:c r="A186" s="1">
        <x:v>92.0</x:v>
      </x:c>
      <x:c r="B186" s="1">
        <x:v>6.4</x:v>
      </x:c>
    </x:row>
    <x:row r="187" ht="15.75" customHeight="1">
      <x:c r="A187" s="1">
        <x:v>92.5</x:v>
      </x:c>
      <x:c r="B187" s="1">
        <x:v>6.4</x:v>
      </x:c>
    </x:row>
    <x:row r="188" ht="15.75" customHeight="1">
      <x:c r="A188" s="1">
        <x:v>93.0</x:v>
      </x:c>
      <x:c r="B188" s="1">
        <x:v>6.5</x:v>
      </x:c>
    </x:row>
    <x:row r="189" ht="15.75" customHeight="1">
      <x:c r="A189" s="1">
        <x:v>93.5</x:v>
      </x:c>
      <x:c r="B189" s="1">
        <x:v>6.5</x:v>
      </x:c>
    </x:row>
    <x:row r="190" ht="15.75" customHeight="1">
      <x:c r="A190" s="1">
        <x:v>94.0</x:v>
      </x:c>
      <x:c r="B190" s="1">
        <x:v>6.6</x:v>
      </x:c>
    </x:row>
    <x:row r="191" ht="15.75" customHeight="1">
      <x:c r="A191" s="1">
        <x:v>94.5</x:v>
      </x:c>
      <x:c r="B191" s="1">
        <x:v>6.6</x:v>
      </x:c>
    </x:row>
    <x:row r="192" ht="15.75" customHeight="1">
      <x:c r="A192" s="1">
        <x:v>95.0</x:v>
      </x:c>
      <x:c r="B192" s="1">
        <x:v>6.6</x:v>
      </x:c>
    </x:row>
    <x:row r="193" ht="15.75" customHeight="1">
      <x:c r="A193" s="1">
        <x:v>95.5</x:v>
      </x:c>
      <x:c r="B193" s="1">
        <x:v>6.7</x:v>
      </x:c>
    </x:row>
    <x:row r="194" ht="15.75" customHeight="1">
      <x:c r="A194" s="1">
        <x:v>96.0</x:v>
      </x:c>
      <x:c r="B194" s="1">
        <x:v>6.7</x:v>
      </x:c>
    </x:row>
    <x:row r="195" ht="15.75" customHeight="1">
      <x:c r="A195" s="1">
        <x:v>96.5</x:v>
      </x:c>
      <x:c r="B195" s="1">
        <x:v>6.7</x:v>
      </x:c>
    </x:row>
    <x:row r="196" ht="15.75" customHeight="1">
      <x:c r="A196" s="1">
        <x:v>97.0</x:v>
      </x:c>
      <x:c r="B196" s="1">
        <x:v>6.8</x:v>
      </x:c>
    </x:row>
    <x:row r="197" ht="15.75" customHeight="1">
      <x:c r="A197" s="1">
        <x:v>97.5</x:v>
      </x:c>
      <x:c r="B197" s="1">
        <x:v>6.8</x:v>
      </x:c>
    </x:row>
    <x:row r="198" ht="15.75" customHeight="1">
      <x:c r="A198" s="1">
        <x:v>98.0</x:v>
      </x:c>
      <x:c r="B198" s="1">
        <x:v>6.9</x:v>
      </x:c>
    </x:row>
    <x:row r="199" ht="15.75" customHeight="1">
      <x:c r="A199" s="1">
        <x:v>98.5</x:v>
      </x:c>
      <x:c r="B199" s="1">
        <x:v>6.9</x:v>
      </x:c>
    </x:row>
    <x:row r="200" ht="15.75" customHeight="1">
      <x:c r="A200" s="1">
        <x:v>99.0</x:v>
      </x:c>
      <x:c r="B200" s="1">
        <x:v>6.9</x:v>
      </x:c>
    </x:row>
    <x:row r="201" ht="15.75" customHeight="1">
      <x:c r="A201" s="1">
        <x:v>99.5</x:v>
      </x:c>
      <x:c r="B201" s="1">
        <x:v>7.0</x:v>
      </x:c>
    </x:row>
    <x:row r="202" ht="15.75" customHeight="1">
      <x:c r="A202" s="1">
        <x:v>100.0</x:v>
      </x:c>
      <x:c r="B202" s="1">
        <x:v>7.0</x:v>
      </x:c>
    </x:row>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6" width="10.710000038146973" customWidth="1"/>
  </x:cols>
  <x:sheetData>
    <x:row r="1">
      <x:c r="A1" s="1" t="s">
        <x:v>57</x:v>
      </x:c>
      <x:c r="B1" s="1" t="s">
        <x:v>58</x:v>
      </x:c>
    </x:row>
    <x:row r="2">
      <x:c r="A2" s="1">
        <x:v>0.0</x:v>
      </x:c>
      <x:c r="B2" s="2">
        <x:v>1.0</x:v>
      </x:c>
    </x:row>
    <x:row r="3">
      <x:c r="A3" s="1">
        <x:v>1.0</x:v>
      </x:c>
      <x:c r="B3" s="2">
        <x:v>1.1</x:v>
      </x:c>
    </x:row>
    <x:row r="4">
      <x:c r="A4" s="1">
        <x:v>2.0</x:v>
      </x:c>
      <x:c r="B4" s="2">
        <x:v>1.2</x:v>
      </x:c>
    </x:row>
    <x:row r="5">
      <x:c r="A5" s="1">
        <x:v>3.0</x:v>
      </x:c>
      <x:c r="B5" s="2">
        <x:v>1.3</x:v>
      </x:c>
    </x:row>
    <x:row r="6">
      <x:c r="A6" s="1">
        <x:v>4.0</x:v>
      </x:c>
      <x:c r="B6" s="2">
        <x:v>1.4</x:v>
      </x:c>
    </x:row>
    <x:row r="7">
      <x:c r="A7" s="1">
        <x:v>5.0</x:v>
      </x:c>
      <x:c r="B7" s="2">
        <x:v>1.5</x:v>
      </x:c>
    </x:row>
    <x:row r="8">
      <x:c r="A8" s="1">
        <x:v>6.0</x:v>
      </x:c>
      <x:c r="B8" s="2">
        <x:v>1.6</x:v>
      </x:c>
    </x:row>
    <x:row r="9">
      <x:c r="A9" s="1">
        <x:v>7.0</x:v>
      </x:c>
      <x:c r="B9" s="2">
        <x:v>1.7</x:v>
      </x:c>
    </x:row>
    <x:row r="10">
      <x:c r="A10" s="1">
        <x:v>8.0</x:v>
      </x:c>
      <x:c r="B10" s="2">
        <x:v>1.8</x:v>
      </x:c>
    </x:row>
    <x:row r="11">
      <x:c r="A11" s="1">
        <x:v>9.0</x:v>
      </x:c>
      <x:c r="B11" s="2">
        <x:v>1.9</x:v>
      </x:c>
    </x:row>
    <x:row r="12">
      <x:c r="A12" s="1">
        <x:v>10.0</x:v>
      </x:c>
      <x:c r="B12" s="2">
        <x:v>2.0</x:v>
      </x:c>
    </x:row>
    <x:row r="13">
      <x:c r="A13" s="1">
        <x:v>11.0</x:v>
      </x:c>
      <x:c r="B13" s="2">
        <x:v>2.1</x:v>
      </x:c>
    </x:row>
    <x:row r="14">
      <x:c r="A14" s="1">
        <x:v>12.0</x:v>
      </x:c>
      <x:c r="B14" s="2">
        <x:v>2.2</x:v>
      </x:c>
    </x:row>
    <x:row r="15">
      <x:c r="A15" s="1">
        <x:v>13.0</x:v>
      </x:c>
      <x:c r="B15" s="2">
        <x:v>2.3</x:v>
      </x:c>
    </x:row>
    <x:row r="16">
      <x:c r="A16" s="1">
        <x:v>14.0</x:v>
      </x:c>
      <x:c r="B16" s="2">
        <x:v>2.3</x:v>
      </x:c>
    </x:row>
    <x:row r="17">
      <x:c r="A17" s="1">
        <x:v>15.0</x:v>
      </x:c>
      <x:c r="B17" s="2">
        <x:v>2.4</x:v>
      </x:c>
    </x:row>
    <x:row r="18">
      <x:c r="A18" s="1">
        <x:v>16.0</x:v>
      </x:c>
      <x:c r="B18" s="2">
        <x:v>2.5</x:v>
      </x:c>
    </x:row>
    <x:row r="19">
      <x:c r="A19" s="1">
        <x:v>17.0</x:v>
      </x:c>
      <x:c r="B19" s="2">
        <x:v>2.6</x:v>
      </x:c>
    </x:row>
    <x:row r="20">
      <x:c r="A20" s="1">
        <x:v>18.0</x:v>
      </x:c>
      <x:c r="B20" s="2">
        <x:v>2.7</x:v>
      </x:c>
    </x:row>
    <x:row r="21" ht="15.75" customHeight="1">
      <x:c r="A21" s="1">
        <x:v>19.0</x:v>
      </x:c>
      <x:c r="B21" s="2">
        <x:v>2.8</x:v>
      </x:c>
    </x:row>
    <x:row r="22" ht="15.75" customHeight="1">
      <x:c r="A22" s="1">
        <x:v>20.0</x:v>
      </x:c>
      <x:c r="B22" s="2">
        <x:v>2.9</x:v>
      </x:c>
    </x:row>
    <x:row r="23" ht="15.75" customHeight="1">
      <x:c r="A23" s="1">
        <x:v>21.0</x:v>
      </x:c>
      <x:c r="B23" s="2">
        <x:v>3.0</x:v>
      </x:c>
    </x:row>
    <x:row r="24" ht="15.75" customHeight="1">
      <x:c r="A24" s="1">
        <x:v>22.0</x:v>
      </x:c>
      <x:c r="B24" s="2">
        <x:v>3.1</x:v>
      </x:c>
    </x:row>
    <x:row r="25" ht="15.75" customHeight="1">
      <x:c r="A25" s="1">
        <x:v>23.0</x:v>
      </x:c>
      <x:c r="B25" s="2">
        <x:v>3.2</x:v>
      </x:c>
    </x:row>
    <x:row r="26" ht="15.75" customHeight="1">
      <x:c r="A26" s="1">
        <x:v>24.0</x:v>
      </x:c>
      <x:c r="B26" s="2">
        <x:v>3.3</x:v>
      </x:c>
    </x:row>
    <x:row r="27" ht="15.75" customHeight="1">
      <x:c r="A27" s="1">
        <x:v>25.0</x:v>
      </x:c>
      <x:c r="B27" s="2">
        <x:v>3.4</x:v>
      </x:c>
    </x:row>
    <x:row r="28" ht="15.75" customHeight="1">
      <x:c r="A28" s="1">
        <x:v>26.0</x:v>
      </x:c>
      <x:c r="B28" s="2">
        <x:v>3.5</x:v>
      </x:c>
    </x:row>
    <x:row r="29" ht="15.75" customHeight="1">
      <x:c r="A29" s="1">
        <x:v>27.0</x:v>
      </x:c>
      <x:c r="B29" s="2">
        <x:v>3.6</x:v>
      </x:c>
    </x:row>
    <x:row r="30" ht="15.75" customHeight="1">
      <x:c r="A30" s="1">
        <x:v>28.0</x:v>
      </x:c>
      <x:c r="B30" s="2">
        <x:v>3.7</x:v>
      </x:c>
    </x:row>
    <x:row r="31" ht="15.75" customHeight="1">
      <x:c r="A31" s="1">
        <x:v>29.0</x:v>
      </x:c>
      <x:c r="B31" s="2">
        <x:v>3.8</x:v>
      </x:c>
    </x:row>
    <x:row r="32" ht="15.75" customHeight="1">
      <x:c r="A32" s="1">
        <x:v>30.0</x:v>
      </x:c>
      <x:c r="B32" s="2">
        <x:v>3.9</x:v>
      </x:c>
    </x:row>
    <x:row r="33" ht="15.75" customHeight="1">
      <x:c r="A33" s="1">
        <x:v>31.0</x:v>
      </x:c>
      <x:c r="B33" s="2">
        <x:v>4.0</x:v>
      </x:c>
    </x:row>
    <x:row r="34" ht="15.75" customHeight="1">
      <x:c r="A34" s="1">
        <x:v>32.0</x:v>
      </x:c>
      <x:c r="B34" s="2">
        <x:v>4.1</x:v>
      </x:c>
    </x:row>
    <x:row r="35" ht="15.75" customHeight="1">
      <x:c r="A35" s="1">
        <x:v>33.0</x:v>
      </x:c>
      <x:c r="B35" s="2">
        <x:v>4.3</x:v>
      </x:c>
    </x:row>
    <x:row r="36" ht="15.75" customHeight="1">
      <x:c r="A36" s="1">
        <x:v>34.0</x:v>
      </x:c>
      <x:c r="B36" s="2">
        <x:v>4.4</x:v>
      </x:c>
    </x:row>
    <x:row r="37" ht="15.75" customHeight="1">
      <x:c r="A37" s="1">
        <x:v>35.0</x:v>
      </x:c>
      <x:c r="B37" s="2">
        <x:v>4.5</x:v>
      </x:c>
    </x:row>
    <x:row r="38" ht="15.75" customHeight="1">
      <x:c r="A38" s="1">
        <x:v>36.0</x:v>
      </x:c>
      <x:c r="B38" s="2">
        <x:v>4.7</x:v>
      </x:c>
    </x:row>
    <x:row r="39" ht="15.75" customHeight="1">
      <x:c r="A39" s="1">
        <x:v>37.0</x:v>
      </x:c>
      <x:c r="B39" s="2">
        <x:v>4.8</x:v>
      </x:c>
    </x:row>
    <x:row r="40" ht="15.75" customHeight="1">
      <x:c r="A40" s="1">
        <x:v>38.0</x:v>
      </x:c>
      <x:c r="B40" s="2">
        <x:v>5.0</x:v>
      </x:c>
    </x:row>
    <x:row r="41" ht="15.75" customHeight="1">
      <x:c r="A41" s="1">
        <x:v>39.0</x:v>
      </x:c>
      <x:c r="B41" s="2">
        <x:v>5.1</x:v>
      </x:c>
    </x:row>
    <x:row r="42" ht="15.75" customHeight="1">
      <x:c r="A42" s="1">
        <x:v>40.0</x:v>
      </x:c>
      <x:c r="B42" s="2">
        <x:v>5.3</x:v>
      </x:c>
    </x:row>
    <x:row r="43" ht="15.75" customHeight="1">
      <x:c r="A43" s="1">
        <x:v>41.0</x:v>
      </x:c>
      <x:c r="B43" s="2">
        <x:v>5.4</x:v>
      </x:c>
    </x:row>
    <x:row r="44" ht="15.75" customHeight="1">
      <x:c r="A44" s="1">
        <x:v>42.0</x:v>
      </x:c>
      <x:c r="B44" s="2">
        <x:v>5.6</x:v>
      </x:c>
    </x:row>
    <x:row r="45" ht="15.75" customHeight="1">
      <x:c r="A45" s="1">
        <x:v>43.0</x:v>
      </x:c>
      <x:c r="B45" s="2">
        <x:v>5.7</x:v>
      </x:c>
    </x:row>
    <x:row r="46" ht="15.75" customHeight="1">
      <x:c r="A46" s="1">
        <x:v>44.0</x:v>
      </x:c>
      <x:c r="B46" s="2">
        <x:v>5.8</x:v>
      </x:c>
    </x:row>
    <x:row r="47" ht="15.75" customHeight="1">
      <x:c r="A47" s="1">
        <x:v>45.0</x:v>
      </x:c>
      <x:c r="B47" s="2">
        <x:v>6.0</x:v>
      </x:c>
    </x:row>
    <x:row r="48" ht="15.75" customHeight="1">
      <x:c r="A48" s="1">
        <x:v>46.0</x:v>
      </x:c>
      <x:c r="B48" s="2">
        <x:v>6.1</x:v>
      </x:c>
    </x:row>
    <x:row r="49" ht="15.75" customHeight="1">
      <x:c r="A49" s="1">
        <x:v>47.0</x:v>
      </x:c>
      <x:c r="B49" s="2">
        <x:v>6.3</x:v>
      </x:c>
    </x:row>
    <x:row r="50" ht="15.75" customHeight="1">
      <x:c r="A50" s="1">
        <x:v>48.0</x:v>
      </x:c>
      <x:c r="B50" s="2">
        <x:v>6.4</x:v>
      </x:c>
    </x:row>
    <x:row r="51" ht="15.75" customHeight="1">
      <x:c r="A51" s="1">
        <x:v>49.0</x:v>
      </x:c>
      <x:c r="B51" s="2">
        <x:v>6.6</x:v>
      </x:c>
    </x:row>
    <x:row r="52" ht="15.75" customHeight="1">
      <x:c r="A52" s="1">
        <x:v>50.0</x:v>
      </x:c>
      <x:c r="B52" s="2">
        <x:v>6.7</x:v>
      </x:c>
    </x:row>
    <x:row r="53" ht="15.75" customHeight="1">
      <x:c r="A53" s="1">
        <x:v>51.0</x:v>
      </x:c>
      <x:c r="B53" s="2">
        <x:v>6.9</x:v>
      </x:c>
    </x:row>
    <x:row r="54" ht="15.75" customHeight="1">
      <x:c r="A54" s="1">
        <x:v>52.0</x:v>
      </x:c>
      <x:c r="B54" s="2">
        <x:v>7.0</x:v>
      </x:c>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6" width="10.710000038146973" customWidth="1"/>
  </x:cols>
  <x:sheetData>
    <x:row r="1">
      <x:c r="A1" s="1" t="s">
        <x:v>9</x:v>
      </x:c>
      <x:c r="B1" s="1" t="s">
        <x:v>10</x:v>
      </x:c>
    </x:row>
    <x:row r="2">
      <x:c r="A2" s="1">
        <x:v>0.0</x:v>
      </x:c>
      <x:c r="B2" s="1">
        <x:v>1.0</x:v>
      </x:c>
    </x:row>
    <x:row r="3">
      <x:c r="A3" s="1">
        <x:v>0.5</x:v>
      </x:c>
      <x:c r="B3" s="1">
        <x:v>1.1</x:v>
      </x:c>
    </x:row>
    <x:row r="4">
      <x:c r="A4" s="1">
        <x:v>1.0</x:v>
      </x:c>
      <x:c r="B4" s="1">
        <x:v>1.2</x:v>
      </x:c>
    </x:row>
    <x:row r="5">
      <x:c r="A5" s="1">
        <x:v>1.5</x:v>
      </x:c>
      <x:c r="B5" s="1">
        <x:v>1.3</x:v>
      </x:c>
    </x:row>
    <x:row r="6">
      <x:c r="A6" s="1">
        <x:v>2.0</x:v>
      </x:c>
      <x:c r="B6" s="1">
        <x:v>1.4</x:v>
      </x:c>
    </x:row>
    <x:row r="7">
      <x:c r="A7" s="1">
        <x:v>2.5</x:v>
      </x:c>
      <x:c r="B7" s="1">
        <x:v>1.5</x:v>
      </x:c>
    </x:row>
    <x:row r="8">
      <x:c r="A8" s="1">
        <x:v>3.0</x:v>
      </x:c>
      <x:c r="B8" s="1">
        <x:v>1.6</x:v>
      </x:c>
    </x:row>
    <x:row r="9">
      <x:c r="A9" s="1">
        <x:v>3.5</x:v>
      </x:c>
      <x:c r="B9" s="1">
        <x:v>1.7</x:v>
      </x:c>
    </x:row>
    <x:row r="10">
      <x:c r="A10" s="1">
        <x:v>4.0</x:v>
      </x:c>
      <x:c r="B10" s="1">
        <x:v>1.8</x:v>
      </x:c>
    </x:row>
    <x:row r="11">
      <x:c r="A11" s="1">
        <x:v>4.5</x:v>
      </x:c>
      <x:c r="B11" s="1">
        <x:v>1.9</x:v>
      </x:c>
    </x:row>
    <x:row r="12">
      <x:c r="A12" s="1">
        <x:v>5.0</x:v>
      </x:c>
      <x:c r="B12" s="1">
        <x:v>2.0</x:v>
      </x:c>
    </x:row>
    <x:row r="13">
      <x:c r="A13" s="1">
        <x:v>5.5</x:v>
      </x:c>
      <x:c r="B13" s="1">
        <x:v>2.1</x:v>
      </x:c>
    </x:row>
    <x:row r="14">
      <x:c r="A14" s="1">
        <x:v>6.0</x:v>
      </x:c>
      <x:c r="B14" s="1">
        <x:v>2.2</x:v>
      </x:c>
    </x:row>
    <x:row r="15">
      <x:c r="A15" s="1">
        <x:v>6.5</x:v>
      </x:c>
      <x:c r="B15" s="1">
        <x:v>2.3</x:v>
      </x:c>
    </x:row>
    <x:row r="16">
      <x:c r="A16" s="1">
        <x:v>7.0</x:v>
      </x:c>
      <x:c r="B16" s="1">
        <x:v>2.4</x:v>
      </x:c>
    </x:row>
    <x:row r="17">
      <x:c r="A17" s="1">
        <x:v>7.5</x:v>
      </x:c>
      <x:c r="B17" s="1">
        <x:v>2.5</x:v>
      </x:c>
    </x:row>
    <x:row r="18">
      <x:c r="A18" s="1">
        <x:v>8.0</x:v>
      </x:c>
      <x:c r="B18" s="1">
        <x:v>2.6</x:v>
      </x:c>
    </x:row>
    <x:row r="19">
      <x:c r="A19" s="1">
        <x:v>8.5</x:v>
      </x:c>
      <x:c r="B19" s="1">
        <x:v>2.7</x:v>
      </x:c>
    </x:row>
    <x:row r="20">
      <x:c r="A20" s="1">
        <x:v>9.0</x:v>
      </x:c>
      <x:c r="B20" s="1">
        <x:v>2.8</x:v>
      </x:c>
    </x:row>
    <x:row r="21" ht="15.75" customHeight="1">
      <x:c r="A21" s="1">
        <x:v>9.5</x:v>
      </x:c>
      <x:c r="B21" s="1">
        <x:v>2.9</x:v>
      </x:c>
    </x:row>
    <x:row r="22" ht="15.75" customHeight="1">
      <x:c r="A22" s="1">
        <x:v>10.0</x:v>
      </x:c>
      <x:c r="B22" s="1">
        <x:v>3.0</x:v>
      </x:c>
    </x:row>
    <x:row r="23" ht="15.75" customHeight="1">
      <x:c r="A23" s="1">
        <x:v>10.5</x:v>
      </x:c>
      <x:c r="B23" s="1">
        <x:v>3.1</x:v>
      </x:c>
    </x:row>
    <x:row r="24" ht="15.75" customHeight="1">
      <x:c r="A24" s="1">
        <x:v>11.0</x:v>
      </x:c>
      <x:c r="B24" s="1">
        <x:v>3.2</x:v>
      </x:c>
    </x:row>
    <x:row r="25" ht="15.75" customHeight="1">
      <x:c r="A25" s="1">
        <x:v>11.5</x:v>
      </x:c>
      <x:c r="B25" s="1">
        <x:v>3.3</x:v>
      </x:c>
    </x:row>
    <x:row r="26" ht="15.75" customHeight="1">
      <x:c r="A26" s="1">
        <x:v>12.0</x:v>
      </x:c>
      <x:c r="B26" s="1">
        <x:v>3.4</x:v>
      </x:c>
    </x:row>
    <x:row r="27" ht="15.75" customHeight="1">
      <x:c r="A27" s="1">
        <x:v>12.5</x:v>
      </x:c>
      <x:c r="B27" s="1">
        <x:v>3.5</x:v>
      </x:c>
    </x:row>
    <x:row r="28" ht="15.75" customHeight="1">
      <x:c r="A28" s="1">
        <x:v>13.0</x:v>
      </x:c>
      <x:c r="B28" s="1">
        <x:v>3.6</x:v>
      </x:c>
    </x:row>
    <x:row r="29" ht="15.75" customHeight="1">
      <x:c r="A29" s="1">
        <x:v>13.5</x:v>
      </x:c>
      <x:c r="B29" s="1">
        <x:v>3.7</x:v>
      </x:c>
    </x:row>
    <x:row r="30" ht="15.75" customHeight="1">
      <x:c r="A30" s="1">
        <x:v>14.0</x:v>
      </x:c>
      <x:c r="B30" s="1">
        <x:v>3.8</x:v>
      </x:c>
    </x:row>
    <x:row r="31" ht="15.75" customHeight="1">
      <x:c r="A31" s="1">
        <x:v>14.5</x:v>
      </x:c>
      <x:c r="B31" s="1">
        <x:v>3.9</x:v>
      </x:c>
    </x:row>
    <x:row r="32" ht="15.75" customHeight="1">
      <x:c r="A32" s="1">
        <x:v>15.0</x:v>
      </x:c>
      <x:c r="B32" s="1">
        <x:v>4.0</x:v>
      </x:c>
    </x:row>
    <x:row r="33" ht="15.75" customHeight="1">
      <x:c r="A33" s="1">
        <x:v>15.5</x:v>
      </x:c>
      <x:c r="B33" s="1">
        <x:v>4.2</x:v>
      </x:c>
    </x:row>
    <x:row r="34" ht="15.75" customHeight="1">
      <x:c r="A34" s="1">
        <x:v>16.0</x:v>
      </x:c>
      <x:c r="B34" s="1">
        <x:v>4.3</x:v>
      </x:c>
    </x:row>
    <x:row r="35" ht="15.75" customHeight="1">
      <x:c r="A35" s="1">
        <x:v>16.5</x:v>
      </x:c>
      <x:c r="B35" s="1">
        <x:v>4.5</x:v>
      </x:c>
    </x:row>
    <x:row r="36" ht="15.75" customHeight="1">
      <x:c r="A36" s="1">
        <x:v>17.0</x:v>
      </x:c>
      <x:c r="B36" s="1">
        <x:v>4.6</x:v>
      </x:c>
    </x:row>
    <x:row r="37" ht="15.75" customHeight="1">
      <x:c r="A37" s="1">
        <x:v>17.5</x:v>
      </x:c>
      <x:c r="B37" s="1">
        <x:v>4.8</x:v>
      </x:c>
    </x:row>
    <x:row r="38" ht="15.75" customHeight="1">
      <x:c r="A38" s="1">
        <x:v>18.0</x:v>
      </x:c>
      <x:c r="B38" s="1">
        <x:v>4.9</x:v>
      </x:c>
    </x:row>
    <x:row r="39" ht="15.75" customHeight="1">
      <x:c r="A39" s="1">
        <x:v>18.5</x:v>
      </x:c>
      <x:c r="B39" s="1">
        <x:v>5.1</x:v>
      </x:c>
    </x:row>
    <x:row r="40" ht="15.75" customHeight="1">
      <x:c r="A40" s="1">
        <x:v>19.0</x:v>
      </x:c>
      <x:c r="B40" s="1">
        <x:v>5.2</x:v>
      </x:c>
    </x:row>
    <x:row r="41" ht="15.75" customHeight="1">
      <x:c r="A41" s="1">
        <x:v>19.5</x:v>
      </x:c>
      <x:c r="B41" s="1">
        <x:v>5.4</x:v>
      </x:c>
    </x:row>
    <x:row r="42" ht="15.75" customHeight="1">
      <x:c r="A42" s="1">
        <x:v>20.0</x:v>
      </x:c>
      <x:c r="B42" s="1">
        <x:v>5.5</x:v>
      </x:c>
    </x:row>
    <x:row r="43" ht="15.75" customHeight="1">
      <x:c r="A43" s="1">
        <x:v>20.5</x:v>
      </x:c>
      <x:c r="B43" s="1">
        <x:v>5.7</x:v>
      </x:c>
    </x:row>
    <x:row r="44" ht="15.75" customHeight="1">
      <x:c r="A44" s="1">
        <x:v>21.0</x:v>
      </x:c>
      <x:c r="B44" s="1">
        <x:v>5.8</x:v>
      </x:c>
    </x:row>
    <x:row r="45" ht="15.75" customHeight="1">
      <x:c r="A45" s="1">
        <x:v>21.5</x:v>
      </x:c>
      <x:c r="B45" s="1">
        <x:v>6.0</x:v>
      </x:c>
    </x:row>
    <x:row r="46" ht="15.75" customHeight="1">
      <x:c r="A46" s="1">
        <x:v>22.0</x:v>
      </x:c>
      <x:c r="B46" s="1">
        <x:v>6.1</x:v>
      </x:c>
    </x:row>
    <x:row r="47" ht="15.75" customHeight="1">
      <x:c r="A47" s="1">
        <x:v>22.5</x:v>
      </x:c>
      <x:c r="B47" s="1">
        <x:v>6.3</x:v>
      </x:c>
    </x:row>
    <x:row r="48" ht="15.75" customHeight="1">
      <x:c r="A48" s="1">
        <x:v>23.0</x:v>
      </x:c>
      <x:c r="B48" s="1">
        <x:v>6.4</x:v>
      </x:c>
    </x:row>
    <x:row r="49" ht="15.75" customHeight="1">
      <x:c r="A49" s="1">
        <x:v>23.5</x:v>
      </x:c>
      <x:c r="B49" s="1">
        <x:v>6.6</x:v>
      </x:c>
    </x:row>
    <x:row r="50" ht="15.75" customHeight="1">
      <x:c r="A50" s="1">
        <x:v>24.0</x:v>
      </x:c>
      <x:c r="B50" s="1">
        <x:v>6.7</x:v>
      </x:c>
    </x:row>
    <x:row r="51" ht="15.75" customHeight="1">
      <x:c r="A51" s="1">
        <x:v>24.5</x:v>
      </x:c>
      <x:c r="B51" s="1">
        <x:v>6.9</x:v>
      </x:c>
    </x:row>
    <x:row r="52" ht="15.75" customHeight="1">
      <x:c r="A52" s="1">
        <x:v>25.0</x:v>
      </x:c>
      <x:c r="B52" s="1">
        <x:v>7.0</x:v>
      </x:c>
    </x:row>
    <x:row r="53" ht="15.75" customHeight="1">
      <x:c r="B53" s="2"/>
    </x:row>
    <x:row r="54" ht="15.75" customHeight="1">
      <x:c r="B54" s="2"/>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6" width="10.710000038146973" customWidth="1"/>
  </x:cols>
  <x:sheetData>
    <x:row r="1">
      <x:c r="A1" s="39" t="s">
        <x:v>59</x:v>
      </x:c>
      <x:c r="B1" s="40" t="s">
        <x:v>9</x:v>
      </x:c>
      <x:c r="C1" s="41"/>
      <x:c r="D1" s="41"/>
      <x:c r="E1" s="42"/>
    </x:row>
    <x:row r="2">
      <x:c r="A2" s="43"/>
      <x:c r="B2" s="44" t="s">
        <x:v>5</x:v>
      </x:c>
      <x:c r="C2" s="45" t="s">
        <x:v>6</x:v>
      </x:c>
      <x:c r="D2" s="45" t="s">
        <x:v>60</x:v>
      </x:c>
      <x:c r="E2" s="46" t="s">
        <x:v>8</x:v>
      </x:c>
    </x:row>
    <x:row r="3">
      <x:c r="A3" s="47" t="s">
        <x:v>61</x:v>
      </x:c>
      <x:c r="B3" s="48">
        <x:v>4.0</x:v>
      </x:c>
      <x:c r="C3" s="48">
        <x:v>3.0</x:v>
      </x:c>
      <x:c r="D3" s="48">
        <x:v>2.0</x:v>
      </x:c>
      <x:c r="E3" s="48">
        <x:v>0.0</x:v>
      </x:c>
    </x:row>
    <x:row r="4">
      <x:c r="A4" s="47"/>
      <x:c r="B4" s="48"/>
      <x:c r="C4" s="48"/>
      <x:c r="D4" s="48"/>
      <x:c r="E4" s="48"/>
    </x:row>
    <x:row r="5">
      <x:c r="A5" s="47"/>
      <x:c r="B5" s="48"/>
      <x:c r="C5" s="48"/>
      <x:c r="D5" s="48"/>
      <x:c r="E5" s="48"/>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A2"/>
  </x:mergeCells>
  <x:pageMargins left="0.7" right="0.7" top="0.75" bottom="0.75" header="0.3" footer="0.3"/>
</x:worksheet>
</file>