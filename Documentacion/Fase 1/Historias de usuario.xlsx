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<sst xmlns="http://schemas.openxmlformats.org/spreadsheetml/2006/main" count="180" uniqueCount="104">
  <si>
    <t>ID</t>
  </si>
  <si>
    <t>Modulo</t>
  </si>
  <si>
    <t>Perfil</t>
  </si>
  <si>
    <t>Necesidad</t>
  </si>
  <si>
    <t>Propósito</t>
  </si>
  <si>
    <t>Autenticación y Accesos</t>
  </si>
  <si>
    <t>Como Administrador</t>
  </si>
  <si>
    <t>Quiero iniciar sesión con mis credenciales en la plataforma web</t>
  </si>
  <si>
    <t>Para acceder a la gestión centralizada y dejar atrás la informalidad de los chats.</t>
  </si>
  <si>
    <t>Quiero cambiar mi contraseña desde la vista de inicio de sesión.</t>
  </si>
  <si>
    <t>Para mantener los estándares de seguridad de mi cuenta.</t>
  </si>
  <si>
    <t>Configuración del Sistema</t>
  </si>
  <si>
    <t>Quiero cargar un archivo Excel con la información de estudiantes mediante "Ingreso masivo"</t>
  </si>
  <si>
    <t>Para poblar la base de datos de postulantes de forma ágil al inicio de un nuevo periodo.</t>
  </si>
  <si>
    <t>Quiero configurar "Horas Límite de Jornada", "Valor hora" y "Porcentaje de retención"</t>
  </si>
  <si>
    <t>Para asegurar que los cálculos de nóminas se ajusten a las reglas vigentes sin intervenir el código.</t>
  </si>
  <si>
    <t>Quiero definir el "Límite de cancelación" (Ej: 24 horas) en los ajustes</t>
  </si>
  <si>
    <t>Para establecer el plazo máximo permitido antes de que una baja genere alertas operativas de última hora.</t>
  </si>
  <si>
    <t>Quiero personalizar el "Formato de Nómina" (tipo de archivo, nombre, separador y variables)</t>
  </si>
  <si>
    <t>Para asegurar compatibilidad exacta con los sistemas contables institucionales.</t>
  </si>
  <si>
    <t>Quiero editar las plantillas de correo de notificaciones utilizando variables dinámicas</t>
  </si>
  <si>
    <t>Para automatizar la comunicación oficial entregando información estandarizada a cada estudiante.</t>
  </si>
  <si>
    <t>Directorio y Perfiles de Alumnos</t>
  </si>
  <si>
    <t>Quiero registrar un estudiante individualmente mediante un formulario manual (Nombre, Rut, jornada, telefono, correo electronico)</t>
  </si>
  <si>
    <t>Para ingresar rápidamente a postulantes rezagados que no entraron en la carga masiva.</t>
  </si>
  <si>
    <t>Quiero visualizar un perfil detallado que muestre información de contacto, RUT y jornada</t>
  </si>
  <si>
    <t>Para tener acceso centralizado a los datos personales del talento disponible.</t>
  </si>
  <si>
    <t>Quiero editar los datos personales y de jornada en el perfil del estudiante</t>
  </si>
  <si>
    <t>Para actualizar la informacion del estudiante.</t>
  </si>
  <si>
    <t>Quiero ver el historial de turnos trabajados y horas acumuladas filtrado por mes en el perfil</t>
  </si>
  <si>
    <t>Para auditar individualmente la participación y controlar las cuotas horarias.</t>
  </si>
  <si>
    <t>Quiero que el sistema registre automáticamente un comentario en el perfil cuando un alumno cancela un turno</t>
  </si>
  <si>
    <t>Para mantener una trazabilidad transparente de su compromiso sin depender del registro manual.</t>
  </si>
  <si>
    <t>Quiero registrar comentarios o notas de forma manual en la bitácora del perfil</t>
  </si>
  <si>
    <t>Para documentar observaciones sobre desempeño o puntualidad.</t>
  </si>
  <si>
    <t>Eventos y Selección (Web Admin)</t>
  </si>
  <si>
    <t>Quiero visualizar un Dashboard con métricas, eventos activos y alertas de cancelación</t>
  </si>
  <si>
    <t>Para auditar y proyectar el presupuesto en tiempo real sin operar a ciegas.</t>
  </si>
  <si>
    <t>Quiero crear eventos "Públicos" o "Privados" (y alternar entre ellos con un toggle)</t>
  </si>
  <si>
    <t>Para gestionar turnos masivos o segmentados según los requerimientos de la actividad.</t>
  </si>
  <si>
    <t>x</t>
  </si>
  <si>
    <t>Quiero cancelar un evento desde la web</t>
  </si>
  <si>
    <t>Para mantener la cartelera actualizada y disparar notificaciones automáticas de baja a los involucrados.</t>
  </si>
  <si>
    <t>Quiero visualizar la suma de horas mensuales de cada alumno en la lista de interesados y filtrarlos de menor a mayor</t>
  </si>
  <si>
    <t>Para identificar a quienes tienen menor participación y asignar turnos garantizando equidad.</t>
  </si>
  <si>
    <t>Quiero disponer de un pop-up opcional para escribir la razón al eliminar a un alumno de un bloque</t>
  </si>
  <si>
    <t>Para mantener un registro claro y auditable de las decisiones de desasignación.</t>
  </si>
  <si>
    <t>Quiero que al derogar a un estudiante de un turno, la acción sea irreversible y bloquee su repostulación al mismo evento</t>
  </si>
  <si>
    <t>Para hacer valer la asignación definitiva y evitar que saturen la lista usando el enlace nuevamente.</t>
  </si>
  <si>
    <t>Quiero visualizar la lista de postulantes pendientes agrupada por evento y dividida por bloques horarios</t>
  </si>
  <si>
    <t>Para evaluar de manera estructurada quiénes desean participar en cada turno específico.</t>
  </si>
  <si>
    <t>Quiero visualizar el estado actual (Pendiente/Asignado) y el total de horas acumuladas de cada postulante en la lista</t>
  </si>
  <si>
    <t>Para aplicar un criterio de equidad en la asignación manual priorizando a quienes tienen menos horas de participación.</t>
  </si>
  <si>
    <t>Quiero hacer clic en el botón circular verde ("Check") al lado del nombre de un postulante en la lista de pendientes</t>
  </si>
  <si>
    <t>Para asignarlo formalmente al bloque horario correspondiente y ocupar un cupo disponible.</t>
  </si>
  <si>
    <t>Quiero que el sistema traslade automáticamente al postulante desde la lista de "Pendientes" hacia la caja del "Bloque Horario" (Ej: Bloque 10:00-12:00) al seleccionarlo</t>
  </si>
  <si>
    <t>Para visualizar claramente quiénes ya están confirmados para el turno y cómo se están llenando las vacantes.</t>
  </si>
  <si>
    <t>Quiero que el contador visual de cupos (Ej: 0/2 → 1/2) se actualice en tiempo real al asignar a un estudiante a un bloque</t>
  </si>
  <si>
    <t>Para controlar visualmente la capacidad máxima del turno y no exceder el presupuesto o la necesidad operativa.</t>
  </si>
  <si>
    <t>Quiero presionar el botón "Confirmar" en la esquina inferior derecha tras completar la asignación de los bloques</t>
  </si>
  <si>
    <t>Para guardar los cambios definitivamente en el sistema, disparar los correos de notificación a los estudiantes y oficializar el listado.</t>
  </si>
  <si>
    <t>Quiero que al presionar "Confirmar" las asignaciones, el sistema genere automáticamente la lista oficial del evento estructurada por nombres y bloques horarios</t>
  </si>
  <si>
    <t>Para contar con un mecanismo formal y estandarizado para el control de la asistencia en el lugar y momento de la acción, evitando la fuga de información operativa.</t>
  </si>
  <si>
    <t>Quiero recibir una alerta cuando un alumno cancela dentro del plazo permitido y enviar un enlace por correo a un reemplazante</t>
  </si>
  <si>
    <t>Para reaccionar a tiempo y cubrir vacantes ágilmente.</t>
  </si>
  <si>
    <t>HUA28</t>
  </si>
  <si>
    <t>Asistencia (Check-in)</t>
  </si>
  <si>
    <t>Quiero acceder a la "Lista de asistencia" presionando un botón tras confirmar las asignaciones</t>
  </si>
  <si>
    <t>Para iniciar el control de horas estructurado con los trabajadores oficiales y evitar reportes informales</t>
  </si>
  <si>
    <t>HUA29</t>
  </si>
  <si>
    <t>Quiero marcar una casilla de verificación (check) junto al nombre del alumno en su bloque correspondiente</t>
  </si>
  <si>
    <t>Para registrar su asistencia completa de forma ágil en el lugar y momento de la acción.</t>
  </si>
  <si>
    <t>HUA30</t>
  </si>
  <si>
    <t>Quiero presionar el botón "Cerrar Asistencia" tras finalizar el pase de lista de todos los bloques</t>
  </si>
  <si>
    <t>Para que el sistema sume matemáticamente las horas trabajadas al perfil del estudiante y consolide la información para el pago.</t>
  </si>
  <si>
    <t>HUA31</t>
  </si>
  <si>
    <t>Quiero que el sistema calcule las horas totales y el monto de pago (aplicando retención) únicamente al cerrar el listado del evento</t>
  </si>
  <si>
    <t>Para asegurar un conteo auditable, evitar datos irreales y eliminar cálculos manuales a fin de mes.</t>
  </si>
  <si>
    <t>HUA32</t>
  </si>
  <si>
    <t>Quiero abrir un modal "Editor de horas" para modificar la hora de inicio y término de un alumno específico</t>
  </si>
  <si>
    <t>Para rastrear con exactitud micro-turnos o fracciones de horas en caso de atrasos y evitar que la institución opere con datos irreales.</t>
  </si>
  <si>
    <t>HUA33</t>
  </si>
  <si>
    <t>Quiero copiar un enlace directo de la lista de asistencia desde la parte superior de la pantalla</t>
  </si>
  <si>
    <t>Para compartir el acceso rápidamente con otro administrador en terreno y delegar el control de los turnos.</t>
  </si>
  <si>
    <t>HUA34</t>
  </si>
  <si>
    <t>Quiero poder editar y reabrir las horas y asistencia de un evento incluso después de haber cerrado el listado</t>
  </si>
  <si>
    <t>Para tener flexibilidad frente a correcciones excepcionales y mitigar reclamos póstumos.</t>
  </si>
  <si>
    <t>HUA35</t>
  </si>
  <si>
    <t>Quiero exportar la nómina consolidada en formato Excel en cualquier momento a demanda</t>
  </si>
  <si>
    <t>Para procesar pagos ágilmente sin estar limitado por un cierre de mes rígido.</t>
  </si>
  <si>
    <t>Postulación y App Móvil (Estudiante)</t>
  </si>
  <si>
    <t>Como Alumno Ayudante</t>
  </si>
  <si>
    <t>Quiero recibir un correo electrónico que funcione como aviso y contenga un "Magic Link"</t>
  </si>
  <si>
    <t>Para acceder directa y ágilmente a la plataforma de postulación validando mi identidad sin fricciones.</t>
  </si>
  <si>
    <t>Quiero visualizar mi nombre, total de horas validadas, dinero estimado y estado de mis eventos (Pendiente/Confirmado) en el Dashboard</t>
  </si>
  <si>
    <t>Para tener certeza de mi agenda y de los montos a recibir, eliminando canales informales.</t>
  </si>
  <si>
    <t>Quiero seleccionar bloques horarios en eventos públicos, o aceptar/rechazar cupos en eventos privados mediante un formulario</t>
  </si>
  <si>
    <t>Para postular equitativamente sin depender de quién responde más rápido por chat.</t>
  </si>
  <si>
    <t>Quiero que el sistema me impida postular a un bloque mostrando un aviso si ya tengo un turno a esa misma hora</t>
  </si>
  <si>
    <t>Para evitar solapamientos en mi agenda y asegurar la cobertura real del evento.</t>
  </si>
  <si>
    <t>Quiero recibir un correo automático confirmando mi asignación, o uno indicando que quedo como respaldo</t>
  </si>
  <si>
    <t>Para mantener la transparencia del proceso y reducir la incertidumbre.</t>
  </si>
  <si>
    <t>Quiero tener un botón para cancelar mi postulación respetando el límite de horas establecido por administración</t>
  </si>
  <si>
    <t>Para notificar formalmente mi indisponibilidad y liberar el cupo.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</si>
</sst>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FFFFFF"/>
      <name val="Roboto"/>
    </font>
    <font>
      <color theme="1"/>
      <name val="Arial"/>
      <scheme val="minor"/>
    </font>
    <font>
      <b/>
      <sz val="10.0"/>
      <color rgb="FF1A365D"/>
      <name val="Roboto"/>
    </font>
    <font>
      <b/>
      <sz val="10.0"/>
      <color rgb="FF1F1F1F"/>
      <name val="Roboto"/>
    </font>
    <font>
      <sz val="10.0"/>
      <color theme="1"/>
      <name val="Roboto"/>
    </font>
    <font>
      <sz val="10.0"/>
      <color rgb="FF1F1F1F"/>
      <name val="Roboto"/>
    </font>
    <font>
      <color rgb="FF1F1F1F"/>
      <name val="Arial"/>
      <scheme val="minor"/>
    </font>
    <font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EEF6FF"/>
        <bgColor rgb="FFEEF6FF"/>
      </patternFill>
    </fill>
    <fill>
      <patternFill patternType="solid">
        <fgColor rgb="FFFFFFFF"/>
        <bgColor rgb="FFFFFFFF"/>
      </patternFill>
    </fill>
    <fill>
      <patternFill patternType="solid">
        <fgColor rgb="FFEFFCF4"/>
        <bgColor rgb="FFEFFCF4"/>
      </patternFill>
    </fill>
    <fill>
      <patternFill patternType="solid">
        <fgColor rgb="FFF9F5FF"/>
        <bgColor rgb="FFF9F5FF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D6E0"/>
      </left>
      <right style="thin">
        <color rgb="FFE1E8EF"/>
      </right>
      <top style="thin">
        <color rgb="FF000000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000000"/>
      </top>
      <bottom style="thin">
        <color rgb="FFE1E8EF"/>
      </bottom>
    </border>
    <border>
      <left style="thin">
        <color rgb="FFE1E8EF"/>
      </left>
      <right style="thin">
        <color rgb="FFCCD6E0"/>
      </right>
      <top style="thin">
        <color rgb="FF000000"/>
      </top>
      <bottom style="thin">
        <color rgb="FFE1E8EF"/>
      </bottom>
    </border>
    <border>
      <left style="thin">
        <color rgb="FFCCD6E0"/>
      </left>
      <right style="thin">
        <color rgb="FFE1E8EF"/>
      </right>
      <top style="thin">
        <color rgb="FFE1E8EF"/>
      </top>
      <bottom style="medium">
        <color rgb="FF1A365D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A365D"/>
      </bottom>
    </border>
    <border>
      <left style="thin">
        <color rgb="FFE1E8EF"/>
      </left>
      <right style="thin">
        <color rgb="FFCCD6E0"/>
      </right>
      <top style="thin">
        <color rgb="FFE1E8EF"/>
      </top>
      <bottom style="medium">
        <color rgb="FF1A365D"/>
      </bottom>
    </border>
    <border>
      <left style="thin">
        <color rgb="FFCCD6E0"/>
      </left>
      <right style="thin">
        <color rgb="FFE1E8EF"/>
      </right>
      <bottom style="thin">
        <color rgb="FFE1E8EF"/>
      </bottom>
    </border>
    <border>
      <left style="thin">
        <color rgb="FFE1E8EF"/>
      </left>
      <right style="thin">
        <color rgb="FFE1E8EF"/>
      </right>
      <bottom style="thin">
        <color rgb="FFE1E8EF"/>
      </bottom>
    </border>
    <border>
      <left style="thin">
        <color rgb="FFE1E8EF"/>
      </left>
      <right style="thin">
        <color rgb="FFCCD6E0"/>
      </right>
      <bottom style="thin">
        <color rgb="FFE1E8EF"/>
      </bottom>
    </border>
    <border>
      <left style="thin">
        <color rgb="FFCCD6E0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CCD6E0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</border>
    <border>
      <left style="thin">
        <color rgb="FFE1E8EF"/>
      </left>
      <right style="thin">
        <color rgb="FFCCD6E0"/>
      </right>
      <top style="thin">
        <color rgb="FFE1E8EF"/>
      </top>
    </border>
    <border>
      <left style="thin">
        <color rgb="FFCCD6E0"/>
      </left>
      <right style="thin">
        <color rgb="FFE1E8EF"/>
      </right>
    </border>
    <border>
      <left style="thin">
        <color rgb="FFE1E8EF"/>
      </left>
      <right style="thin">
        <color rgb="FFE1E8EF"/>
      </right>
    </border>
    <border>
      <left style="thin">
        <color rgb="FFE1E8EF"/>
      </left>
      <right style="thin">
        <color rgb="FFCCD6E0"/>
      </right>
    </border>
    <border>
      <left style="thin">
        <color rgb="FFCCD6E0"/>
      </left>
      <right style="thin">
        <color rgb="FFE1E8EF"/>
      </right>
      <top style="thin">
        <color rgb="FFE1E8EF"/>
      </top>
    </border>
    <border>
      <bottom style="thick">
        <color rgb="FF1A365D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shrinkToFit="0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3" fillId="3" fontId="4" numFmtId="0" xfId="0" applyAlignment="1" applyBorder="1" applyFill="1" applyFont="1">
      <alignment horizontal="left" readingOrder="0" shrinkToFit="0" vertical="center" wrapText="1"/>
    </xf>
    <xf borderId="3" fillId="3" fontId="5" numFmtId="0" xfId="0" applyAlignment="1" applyBorder="1" applyFill="1" applyFont="1">
      <alignment horizontal="left" readingOrder="0" shrinkToFit="0" vertical="center" wrapText="1"/>
    </xf>
    <xf borderId="4" fillId="3" fontId="5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wrapText="1"/>
    </xf>
    <xf borderId="5" fillId="3" fontId="3" numFmtId="0" xfId="0" applyAlignment="1" applyBorder="1" applyFill="1" applyFont="1">
      <alignment horizontal="center" readingOrder="0" shrinkToFit="0" vertical="center" wrapText="1"/>
    </xf>
    <xf borderId="6" fillId="3" fontId="4" numFmtId="0" xfId="0" applyAlignment="1" applyBorder="1" applyFill="1" applyFont="1">
      <alignment horizontal="left" readingOrder="0" shrinkToFit="0" vertical="center" wrapText="1"/>
    </xf>
    <xf borderId="6" fillId="3" fontId="5" numFmtId="0" xfId="0" applyAlignment="1" applyBorder="1" applyFill="1" applyFont="1">
      <alignment horizontal="left" readingOrder="0" shrinkToFit="0" vertical="center" wrapText="1"/>
    </xf>
    <xf borderId="7" fillId="3" fontId="5" numFmtId="0" xfId="0" applyAlignment="1" applyBorder="1" applyFill="1" applyFont="1">
      <alignment horizontal="left" readingOrder="0" shrinkToFit="0" vertical="center" wrapText="1"/>
    </xf>
    <xf borderId="8" fillId="4" fontId="3" numFmtId="0" xfId="0" applyAlignment="1" applyBorder="1" applyFill="1" applyFont="1">
      <alignment horizontal="center" readingOrder="0" shrinkToFit="0" vertical="center" wrapText="1"/>
    </xf>
    <xf borderId="9" fillId="4" fontId="4" numFmtId="0" xfId="0" applyAlignment="1" applyBorder="1" applyFill="1" applyFont="1">
      <alignment horizontal="left" readingOrder="0" shrinkToFit="0" vertical="center" wrapText="1"/>
    </xf>
    <xf borderId="9" fillId="4" fontId="5" numFmtId="0" xfId="0" applyAlignment="1" applyBorder="1" applyFill="1" applyFont="1">
      <alignment horizontal="left" readingOrder="0" shrinkToFit="0" vertical="center" wrapText="1"/>
    </xf>
    <xf borderId="9" fillId="4" fontId="6" numFmtId="0" xfId="0" applyAlignment="1" applyBorder="1" applyFill="1" applyFont="1">
      <alignment horizontal="left" readingOrder="0" shrinkToFit="0" vertical="center" wrapText="1"/>
    </xf>
    <xf borderId="10" fillId="4" fontId="6" numFmtId="0" xfId="0" applyAlignment="1" applyBorder="1" applyFill="1" applyFont="1">
      <alignment horizontal="left" readingOrder="0" shrinkToFit="0" vertical="center" wrapText="1"/>
    </xf>
    <xf borderId="11" fillId="4" fontId="3" numFmtId="0" xfId="0" applyAlignment="1" applyBorder="1" applyFill="1" applyFont="1">
      <alignment horizontal="center" readingOrder="0" shrinkToFit="0" vertical="center" wrapText="1"/>
    </xf>
    <xf borderId="12" fillId="4" fontId="4" numFmtId="0" xfId="0" applyAlignment="1" applyBorder="1" applyFill="1" applyFont="1">
      <alignment horizontal="left" readingOrder="0" shrinkToFit="0" vertical="center" wrapText="1"/>
    </xf>
    <xf borderId="12" fillId="4" fontId="5" numFmtId="0" xfId="0" applyAlignment="1" applyBorder="1" applyFill="1" applyFont="1">
      <alignment horizontal="left" readingOrder="0" shrinkToFit="0" vertical="center" wrapText="1"/>
    </xf>
    <xf borderId="12" fillId="4" fontId="6" numFmtId="0" xfId="0" applyAlignment="1" applyBorder="1" applyFill="1" applyFont="1">
      <alignment horizontal="left" readingOrder="0" shrinkToFit="0" vertical="center" wrapText="1"/>
    </xf>
    <xf borderId="13" fillId="4" fontId="6" numFmtId="0" xfId="0" applyAlignment="1" applyBorder="1" applyFill="1" applyFont="1">
      <alignment horizontal="left" readingOrder="0" shrinkToFit="0" vertical="center" wrapText="1"/>
    </xf>
    <xf borderId="5" fillId="4" fontId="3" numFmtId="0" xfId="0" applyAlignment="1" applyBorder="1" applyFill="1" applyFont="1">
      <alignment horizontal="center" readingOrder="0" shrinkToFit="0" vertical="center" wrapText="1"/>
    </xf>
    <xf borderId="6" fillId="4" fontId="4" numFmtId="0" xfId="0" applyAlignment="1" applyBorder="1" applyFill="1" applyFont="1">
      <alignment horizontal="left" readingOrder="0" shrinkToFit="0" vertical="center" wrapText="1"/>
    </xf>
    <xf borderId="6" fillId="4" fontId="5" numFmtId="0" xfId="0" applyAlignment="1" applyBorder="1" applyFill="1" applyFont="1">
      <alignment horizontal="left" readingOrder="0" shrinkToFit="0" vertical="center" wrapText="1"/>
    </xf>
    <xf borderId="6" fillId="4" fontId="6" numFmtId="0" xfId="0" applyAlignment="1" applyBorder="1" applyFill="1" applyFont="1">
      <alignment horizontal="left" readingOrder="0" shrinkToFit="0" vertical="center" wrapText="1"/>
    </xf>
    <xf borderId="7" fillId="4" fontId="6" numFmtId="0" xfId="0" applyAlignment="1" applyBorder="1" applyFill="1" applyFont="1">
      <alignment horizontal="left" readingOrder="0" shrinkToFit="0" vertical="center" wrapText="1"/>
    </xf>
    <xf borderId="8" fillId="3" fontId="3" numFmtId="0" xfId="0" applyAlignment="1" applyBorder="1" applyFill="1" applyFont="1">
      <alignment horizontal="center" readingOrder="0" shrinkToFit="0" vertical="center" wrapText="1"/>
    </xf>
    <xf borderId="9" fillId="3" fontId="4" numFmtId="0" xfId="0" applyAlignment="1" applyBorder="1" applyFill="1" applyFont="1">
      <alignment horizontal="left" readingOrder="0" shrinkToFit="0" vertical="center" wrapText="1"/>
    </xf>
    <xf borderId="9" fillId="3" fontId="6" numFmtId="0" xfId="0" applyAlignment="1" applyBorder="1" applyFill="1" applyFont="1">
      <alignment horizontal="left" readingOrder="0" shrinkToFit="0" vertical="center" wrapText="1"/>
    </xf>
    <xf borderId="10" fillId="3" fontId="6" numFmtId="0" xfId="0" applyAlignment="1" applyBorder="1" applyFill="1" applyFont="1">
      <alignment horizontal="left" readingOrder="0" shrinkToFit="0" vertical="center" wrapText="1"/>
    </xf>
    <xf borderId="11" fillId="3" fontId="3" numFmtId="0" xfId="0" applyAlignment="1" applyBorder="1" applyFill="1" applyFont="1">
      <alignment horizontal="center" readingOrder="0" shrinkToFit="0" vertical="center" wrapText="1"/>
    </xf>
    <xf borderId="12" fillId="3" fontId="4" numFmtId="0" xfId="0" applyAlignment="1" applyBorder="1" applyFill="1" applyFont="1">
      <alignment horizontal="left" readingOrder="0" shrinkToFit="0" vertical="center" wrapText="1"/>
    </xf>
    <xf borderId="12" fillId="3" fontId="6" numFmtId="0" xfId="0" applyAlignment="1" applyBorder="1" applyFill="1" applyFont="1">
      <alignment horizontal="left" readingOrder="0" shrinkToFit="0" vertical="center" wrapText="1"/>
    </xf>
    <xf borderId="13" fillId="3" fontId="6" numFmtId="0" xfId="0" applyAlignment="1" applyBorder="1" applyFill="1" applyFont="1">
      <alignment horizontal="left" readingOrder="0" shrinkToFit="0" vertical="center" wrapText="1"/>
    </xf>
    <xf borderId="6" fillId="3" fontId="6" numFmtId="0" xfId="0" applyAlignment="1" applyBorder="1" applyFill="1" applyFont="1">
      <alignment horizontal="left" readingOrder="0" shrinkToFit="0" vertical="center" wrapText="1"/>
    </xf>
    <xf borderId="7" fillId="3" fontId="6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horizontal="right" readingOrder="0" shrinkToFit="0" wrapText="1"/>
    </xf>
    <xf borderId="14" fillId="4" fontId="4" numFmtId="0" xfId="0" applyAlignment="1" applyBorder="1" applyFill="1" applyFont="1">
      <alignment horizontal="left" readingOrder="0" shrinkToFit="0" vertical="center" wrapText="1"/>
    </xf>
    <xf borderId="14" fillId="4" fontId="6" numFmtId="0" xfId="0" applyAlignment="1" applyBorder="1" applyFill="1" applyFont="1">
      <alignment horizontal="left" readingOrder="0" shrinkToFit="0" vertical="center" wrapText="1"/>
    </xf>
    <xf borderId="15" fillId="4" fontId="6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16" fillId="5" fontId="3" numFmtId="0" xfId="0" applyAlignment="1" applyBorder="1" applyFill="1" applyFont="1">
      <alignment horizontal="center" readingOrder="0" shrinkToFit="0" vertical="center" wrapText="1"/>
    </xf>
    <xf borderId="17" fillId="5" fontId="4" numFmtId="0" xfId="0" applyAlignment="1" applyBorder="1" applyFill="1" applyFont="1">
      <alignment horizontal="left" readingOrder="0" shrinkToFit="0" vertical="center" wrapText="1"/>
    </xf>
    <xf borderId="17" fillId="5" fontId="6" numFmtId="0" xfId="0" applyAlignment="1" applyBorder="1" applyFill="1" applyFont="1">
      <alignment horizontal="left" readingOrder="0" shrinkToFit="0" vertical="center" wrapText="1"/>
    </xf>
    <xf borderId="18" fillId="5" fontId="6" numFmtId="0" xfId="0" applyAlignment="1" applyBorder="1" applyFill="1" applyFont="1">
      <alignment horizontal="left" readingOrder="0" shrinkToFit="0" vertical="center" wrapText="1"/>
    </xf>
    <xf borderId="0" fillId="5" fontId="2" numFmtId="0" xfId="0" applyAlignment="1" applyFill="1" applyFont="1">
      <alignment readingOrder="0"/>
    </xf>
    <xf borderId="11" fillId="5" fontId="3" numFmtId="0" xfId="0" applyAlignment="1" applyBorder="1" applyFill="1" applyFont="1">
      <alignment horizontal="center" readingOrder="0" shrinkToFit="0" vertical="center" wrapText="1"/>
    </xf>
    <xf borderId="12" fillId="5" fontId="4" numFmtId="0" xfId="0" applyAlignment="1" applyBorder="1" applyFill="1" applyFont="1">
      <alignment horizontal="left" readingOrder="0" shrinkToFit="0" vertical="center" wrapText="1"/>
    </xf>
    <xf borderId="12" fillId="5" fontId="6" numFmtId="0" xfId="0" applyAlignment="1" applyBorder="1" applyFill="1" applyFont="1">
      <alignment horizontal="left" readingOrder="0" shrinkToFit="0" vertical="center" wrapText="1"/>
    </xf>
    <xf borderId="13" fillId="5" fontId="6" numFmtId="0" xfId="0" applyAlignment="1" applyBorder="1" applyFill="1" applyFont="1">
      <alignment horizontal="left" readingOrder="0" shrinkToFit="0" vertical="center" wrapText="1"/>
    </xf>
    <xf borderId="19" fillId="5" fontId="3" numFmtId="0" xfId="0" applyAlignment="1" applyBorder="1" applyFill="1" applyFont="1">
      <alignment horizontal="center" readingOrder="0" shrinkToFit="0" vertical="center" wrapText="1"/>
    </xf>
    <xf borderId="14" fillId="5" fontId="4" numFmtId="0" xfId="0" applyAlignment="1" applyBorder="1" applyFill="1" applyFont="1">
      <alignment horizontal="left" readingOrder="0" shrinkToFit="0" vertical="center" wrapText="1"/>
    </xf>
    <xf borderId="14" fillId="5" fontId="6" numFmtId="0" xfId="0" applyAlignment="1" applyBorder="1" applyFill="1" applyFont="1">
      <alignment horizontal="left" readingOrder="0" shrinkToFit="0" vertical="center" wrapText="1"/>
    </xf>
    <xf borderId="15" fillId="5" fontId="6" numFmtId="0" xfId="0" applyAlignment="1" applyBorder="1" applyFill="1" applyFont="1">
      <alignment horizontal="left" readingOrder="0" shrinkToFit="0" vertical="center" wrapText="1"/>
    </xf>
    <xf borderId="20" fillId="5" fontId="3" numFmtId="0" xfId="0" applyAlignment="1" applyBorder="1" applyFill="1" applyFont="1">
      <alignment horizontal="center" readingOrder="0" shrinkToFit="0" vertical="center" wrapText="1"/>
    </xf>
    <xf borderId="20" fillId="5" fontId="4" numFmtId="0" xfId="0" applyAlignment="1" applyBorder="1" applyFill="1" applyFont="1">
      <alignment horizontal="left" readingOrder="0" shrinkToFit="0" vertical="center" wrapText="1"/>
    </xf>
    <xf borderId="20" fillId="5" fontId="6" numFmtId="0" xfId="0" applyAlignment="1" applyBorder="1" applyFill="1" applyFont="1">
      <alignment horizontal="left" readingOrder="0" shrinkToFit="0" vertical="center" wrapText="1"/>
    </xf>
    <xf borderId="8" fillId="6" fontId="3" numFmtId="0" xfId="0" applyAlignment="1" applyBorder="1" applyFill="1" applyFont="1">
      <alignment horizontal="center" readingOrder="0" shrinkToFit="0" vertical="center" wrapText="1"/>
    </xf>
    <xf borderId="9" fillId="6" fontId="4" numFmtId="0" xfId="0" applyAlignment="1" applyBorder="1" applyFill="1" applyFont="1">
      <alignment horizontal="left" readingOrder="0" shrinkToFit="0" vertical="center" wrapText="1"/>
    </xf>
    <xf borderId="9" fillId="6" fontId="5" numFmtId="0" xfId="0" applyAlignment="1" applyBorder="1" applyFill="1" applyFont="1">
      <alignment horizontal="left" readingOrder="0" shrinkToFit="0" vertical="center" wrapText="1"/>
    </xf>
    <xf borderId="10" fillId="6" fontId="5" numFmtId="0" xfId="0" applyAlignment="1" applyBorder="1" applyFill="1" applyFont="1">
      <alignment horizontal="left" readingOrder="0" shrinkToFit="0" vertical="center" wrapText="1"/>
    </xf>
    <xf borderId="11" fillId="6" fontId="3" numFmtId="0" xfId="0" applyAlignment="1" applyBorder="1" applyFill="1" applyFont="1">
      <alignment horizontal="center" readingOrder="0" shrinkToFit="0" vertical="center" wrapText="1"/>
    </xf>
    <xf borderId="12" fillId="6" fontId="4" numFmtId="0" xfId="0" applyAlignment="1" applyBorder="1" applyFill="1" applyFont="1">
      <alignment horizontal="left" readingOrder="0" shrinkToFit="0" vertical="center" wrapText="1"/>
    </xf>
    <xf borderId="12" fillId="6" fontId="6" numFmtId="0" xfId="0" applyAlignment="1" applyBorder="1" applyFill="1" applyFont="1">
      <alignment horizontal="left" readingOrder="0" shrinkToFit="0" vertical="center" wrapText="1"/>
    </xf>
    <xf borderId="13" fillId="6" fontId="6" numFmtId="0" xfId="0" applyAlignment="1" applyBorder="1" applyFill="1" applyFont="1">
      <alignment horizontal="left" readingOrder="0" shrinkToFit="0" vertical="center" wrapText="1"/>
    </xf>
    <xf borderId="5" fillId="6" fontId="3" numFmtId="0" xfId="0" applyAlignment="1" applyBorder="1" applyFill="1" applyFont="1">
      <alignment horizontal="center" readingOrder="0" shrinkToFit="0" vertical="center" wrapText="1"/>
    </xf>
    <xf borderId="6" fillId="6" fontId="4" numFmtId="0" xfId="0" applyAlignment="1" applyBorder="1" applyFill="1" applyFont="1">
      <alignment horizontal="left" readingOrder="0" shrinkToFit="0" vertical="center" wrapText="1"/>
    </xf>
    <xf borderId="6" fillId="6" fontId="6" numFmtId="0" xfId="0" applyAlignment="1" applyBorder="1" applyFill="1" applyFont="1">
      <alignment horizontal="left" readingOrder="0" shrinkToFit="0" vertical="center" wrapText="1"/>
    </xf>
    <xf borderId="7" fillId="6" fontId="6" numFmtId="0" xfId="0" applyAlignment="1" applyBorder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25.75"/>
    <col customWidth="1" min="3" max="3" width="19.5"/>
    <col customWidth="1" min="4" max="4" width="50.13"/>
    <col customWidth="1" min="5" max="5" width="55.13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2"/>
      <c r="I1" s="2"/>
      <c r="J1" s="2"/>
      <c r="K1" s="2"/>
    </row>
    <row r="2">
      <c r="A2" s="4" t="str">
        <f t="shared" ref="A2:A28" si="1">IF(ISNUMBER(SEARCH("Administrador", C2)), "HUA" &amp; TEXT(COUNTIF($C$2:C2, "*Administrador*"), "00"), "HUT" &amp; TEXT(COUNTIF($C$2:C2, "*Alumno*"), "00"))</f>
        <v>HUA01</v>
      </c>
      <c r="B2" s="5" t="s">
        <v>5</v>
      </c>
      <c r="C2" s="6" t="s">
        <v>6</v>
      </c>
      <c r="D2" s="6" t="s">
        <v>7</v>
      </c>
      <c r="E2" s="7" t="s">
        <v>8</v>
      </c>
      <c r="F2" s="8">
        <v>4.0</v>
      </c>
      <c r="G2" s="3"/>
      <c r="H2" s="2"/>
      <c r="I2" s="2"/>
      <c r="J2" s="2"/>
      <c r="K2" s="2"/>
    </row>
    <row r="3">
      <c r="A3" s="9" t="str">
        <f t="shared" si="1"/>
        <v>HUA02</v>
      </c>
      <c r="B3" s="10" t="s">
        <v>5</v>
      </c>
      <c r="C3" s="11" t="s">
        <v>6</v>
      </c>
      <c r="D3" s="11" t="s">
        <v>9</v>
      </c>
      <c r="E3" s="12" t="s">
        <v>10</v>
      </c>
      <c r="F3" s="8">
        <v>3.0</v>
      </c>
      <c r="G3" s="3"/>
      <c r="H3" s="2"/>
      <c r="I3" s="2"/>
      <c r="J3" s="2"/>
      <c r="K3" s="2"/>
    </row>
    <row r="4">
      <c r="A4" s="13" t="str">
        <f t="shared" si="1"/>
        <v>HUA03</v>
      </c>
      <c r="B4" s="14" t="s">
        <v>11</v>
      </c>
      <c r="C4" s="15" t="s">
        <v>6</v>
      </c>
      <c r="D4" s="16" t="s">
        <v>12</v>
      </c>
      <c r="E4" s="17" t="s">
        <v>13</v>
      </c>
      <c r="F4" s="8">
        <v>6.0</v>
      </c>
      <c r="G4" s="3"/>
      <c r="H4" s="2"/>
      <c r="I4" s="2"/>
      <c r="J4" s="2"/>
      <c r="K4" s="2"/>
    </row>
    <row r="5">
      <c r="A5" s="18" t="str">
        <f t="shared" si="1"/>
        <v>HUA04</v>
      </c>
      <c r="B5" s="19" t="s">
        <v>11</v>
      </c>
      <c r="C5" s="20" t="s">
        <v>6</v>
      </c>
      <c r="D5" s="21" t="s">
        <v>14</v>
      </c>
      <c r="E5" s="22" t="s">
        <v>15</v>
      </c>
      <c r="F5" s="8">
        <v>2.0</v>
      </c>
      <c r="G5" s="3"/>
      <c r="H5" s="2"/>
      <c r="I5" s="2"/>
      <c r="J5" s="2"/>
      <c r="K5" s="2"/>
    </row>
    <row r="6">
      <c r="A6" s="18" t="str">
        <f t="shared" si="1"/>
        <v>HUA05</v>
      </c>
      <c r="B6" s="19" t="s">
        <v>11</v>
      </c>
      <c r="C6" s="20" t="s">
        <v>6</v>
      </c>
      <c r="D6" s="21" t="s">
        <v>16</v>
      </c>
      <c r="E6" s="22" t="s">
        <v>17</v>
      </c>
      <c r="F6" s="8">
        <v>8.0</v>
      </c>
      <c r="G6" s="3"/>
      <c r="H6" s="2"/>
      <c r="I6" s="2"/>
      <c r="J6" s="2"/>
      <c r="K6" s="2"/>
    </row>
    <row r="7">
      <c r="A7" s="18" t="str">
        <f t="shared" si="1"/>
        <v>HUA06</v>
      </c>
      <c r="B7" s="19" t="s">
        <v>11</v>
      </c>
      <c r="C7" s="20" t="s">
        <v>6</v>
      </c>
      <c r="D7" s="21" t="s">
        <v>18</v>
      </c>
      <c r="E7" s="22" t="s">
        <v>19</v>
      </c>
      <c r="F7" s="8">
        <v>13.0</v>
      </c>
      <c r="G7" s="3"/>
      <c r="H7" s="2"/>
      <c r="I7" s="2"/>
      <c r="J7" s="2"/>
      <c r="K7" s="2"/>
    </row>
    <row r="8">
      <c r="A8" s="23" t="str">
        <f t="shared" si="1"/>
        <v>HUA07</v>
      </c>
      <c r="B8" s="24" t="s">
        <v>11</v>
      </c>
      <c r="C8" s="25" t="s">
        <v>6</v>
      </c>
      <c r="D8" s="26" t="s">
        <v>20</v>
      </c>
      <c r="E8" s="27" t="s">
        <v>21</v>
      </c>
      <c r="F8" s="8">
        <v>3.0</v>
      </c>
      <c r="G8" s="3"/>
      <c r="H8" s="2"/>
      <c r="I8" s="2"/>
      <c r="J8" s="2"/>
      <c r="K8" s="2"/>
    </row>
    <row r="9">
      <c r="A9" s="28" t="str">
        <f t="shared" si="1"/>
        <v>HUA08</v>
      </c>
      <c r="B9" s="29" t="s">
        <v>22</v>
      </c>
      <c r="C9" s="30" t="s">
        <v>6</v>
      </c>
      <c r="D9" s="30" t="s">
        <v>23</v>
      </c>
      <c r="E9" s="31" t="s">
        <v>24</v>
      </c>
      <c r="F9" s="8">
        <v>2.0</v>
      </c>
      <c r="G9" s="3"/>
      <c r="H9" s="2"/>
      <c r="I9" s="2"/>
      <c r="J9" s="2"/>
      <c r="K9" s="2"/>
    </row>
    <row r="10">
      <c r="A10" s="32" t="str">
        <f t="shared" si="1"/>
        <v>HUA09</v>
      </c>
      <c r="B10" s="33" t="s">
        <v>22</v>
      </c>
      <c r="C10" s="34" t="s">
        <v>6</v>
      </c>
      <c r="D10" s="34" t="s">
        <v>25</v>
      </c>
      <c r="E10" s="35" t="s">
        <v>26</v>
      </c>
      <c r="F10" s="8">
        <v>2.0</v>
      </c>
      <c r="G10" s="3"/>
      <c r="H10" s="2"/>
      <c r="I10" s="2"/>
      <c r="J10" s="2"/>
      <c r="K10" s="2"/>
    </row>
    <row r="11">
      <c r="A11" s="32" t="str">
        <f t="shared" si="1"/>
        <v>HUA10</v>
      </c>
      <c r="B11" s="33" t="s">
        <v>22</v>
      </c>
      <c r="C11" s="34" t="s">
        <v>6</v>
      </c>
      <c r="D11" s="34" t="s">
        <v>27</v>
      </c>
      <c r="E11" s="35" t="s">
        <v>28</v>
      </c>
      <c r="F11" s="8">
        <v>2.0</v>
      </c>
      <c r="G11" s="3"/>
      <c r="H11" s="2"/>
      <c r="I11" s="2"/>
      <c r="J11" s="2"/>
      <c r="K11" s="2"/>
    </row>
    <row r="12">
      <c r="A12" s="32" t="str">
        <f t="shared" si="1"/>
        <v>HUA11</v>
      </c>
      <c r="B12" s="33" t="s">
        <v>22</v>
      </c>
      <c r="C12" s="34" t="s">
        <v>6</v>
      </c>
      <c r="D12" s="34" t="s">
        <v>29</v>
      </c>
      <c r="E12" s="35" t="s">
        <v>30</v>
      </c>
      <c r="F12" s="8">
        <v>5.0</v>
      </c>
      <c r="G12" s="3"/>
      <c r="H12" s="2"/>
      <c r="I12" s="2"/>
      <c r="J12" s="2"/>
      <c r="K12" s="2"/>
    </row>
    <row r="13">
      <c r="A13" s="32" t="str">
        <f t="shared" si="1"/>
        <v>HUA12</v>
      </c>
      <c r="B13" s="33" t="s">
        <v>22</v>
      </c>
      <c r="C13" s="34" t="s">
        <v>6</v>
      </c>
      <c r="D13" s="34" t="s">
        <v>31</v>
      </c>
      <c r="E13" s="35" t="s">
        <v>32</v>
      </c>
      <c r="F13" s="8">
        <v>3.0</v>
      </c>
      <c r="G13" s="3"/>
      <c r="H13" s="2"/>
      <c r="I13" s="2"/>
      <c r="J13" s="2"/>
      <c r="K13" s="2"/>
    </row>
    <row r="14" ht="43.5" customHeight="1">
      <c r="A14" s="9" t="str">
        <f t="shared" si="1"/>
        <v>HUA13</v>
      </c>
      <c r="B14" s="10" t="s">
        <v>22</v>
      </c>
      <c r="C14" s="36" t="s">
        <v>6</v>
      </c>
      <c r="D14" s="36" t="s">
        <v>33</v>
      </c>
      <c r="E14" s="37" t="s">
        <v>34</v>
      </c>
      <c r="F14" s="8">
        <v>3.0</v>
      </c>
      <c r="G14" s="3"/>
      <c r="H14" s="2"/>
      <c r="I14" s="2"/>
      <c r="J14" s="2"/>
      <c r="K14" s="2"/>
    </row>
    <row r="15">
      <c r="A15" s="13" t="str">
        <f t="shared" si="1"/>
        <v>HUA14</v>
      </c>
      <c r="B15" s="14" t="s">
        <v>35</v>
      </c>
      <c r="C15" s="16" t="s">
        <v>6</v>
      </c>
      <c r="D15" s="16" t="s">
        <v>36</v>
      </c>
      <c r="E15" s="17" t="s">
        <v>37</v>
      </c>
      <c r="F15" s="8">
        <v>8.0</v>
      </c>
      <c r="G15" s="3"/>
      <c r="H15" s="2"/>
      <c r="I15" s="2"/>
      <c r="J15" s="2"/>
      <c r="K15" s="2"/>
    </row>
    <row r="16">
      <c r="A16" s="18" t="str">
        <f t="shared" si="1"/>
        <v>HUA15</v>
      </c>
      <c r="B16" s="19" t="s">
        <v>35</v>
      </c>
      <c r="C16" s="21" t="s">
        <v>6</v>
      </c>
      <c r="D16" s="21" t="s">
        <v>38</v>
      </c>
      <c r="E16" s="22" t="s">
        <v>39</v>
      </c>
      <c r="F16" s="8">
        <v>3.0</v>
      </c>
      <c r="G16" s="38" t="s">
        <v>40</v>
      </c>
      <c r="H16" s="2"/>
      <c r="I16" s="2"/>
      <c r="J16" s="2"/>
      <c r="K16" s="2"/>
    </row>
    <row r="17">
      <c r="A17" s="18" t="str">
        <f t="shared" si="1"/>
        <v>HUA16</v>
      </c>
      <c r="B17" s="19" t="s">
        <v>35</v>
      </c>
      <c r="C17" s="21" t="s">
        <v>6</v>
      </c>
      <c r="D17" s="21" t="s">
        <v>41</v>
      </c>
      <c r="E17" s="22" t="s">
        <v>42</v>
      </c>
      <c r="F17" s="8">
        <v>3.0</v>
      </c>
      <c r="G17" s="3"/>
      <c r="H17" s="2"/>
      <c r="I17" s="2"/>
      <c r="J17" s="2"/>
      <c r="K17" s="2"/>
    </row>
    <row r="18">
      <c r="A18" s="18" t="str">
        <f t="shared" si="1"/>
        <v>HUA17</v>
      </c>
      <c r="B18" s="19" t="s">
        <v>35</v>
      </c>
      <c r="C18" s="21" t="s">
        <v>6</v>
      </c>
      <c r="D18" s="21" t="s">
        <v>43</v>
      </c>
      <c r="E18" s="22" t="s">
        <v>44</v>
      </c>
      <c r="F18" s="8">
        <v>5.0</v>
      </c>
      <c r="G18" s="3"/>
      <c r="H18" s="2"/>
      <c r="I18" s="2"/>
      <c r="J18" s="2"/>
      <c r="K18" s="2"/>
    </row>
    <row r="19">
      <c r="A19" s="18" t="str">
        <f t="shared" si="1"/>
        <v>HUA18</v>
      </c>
      <c r="B19" s="19" t="s">
        <v>35</v>
      </c>
      <c r="C19" s="21" t="s">
        <v>6</v>
      </c>
      <c r="D19" s="21" t="s">
        <v>45</v>
      </c>
      <c r="E19" s="22" t="s">
        <v>46</v>
      </c>
      <c r="F19" s="8">
        <v>3.0</v>
      </c>
      <c r="G19" s="3"/>
      <c r="H19" s="2"/>
      <c r="I19" s="2"/>
      <c r="J19" s="2"/>
      <c r="K19" s="2"/>
    </row>
    <row r="20">
      <c r="A20" s="18" t="str">
        <f t="shared" si="1"/>
        <v>HUA19</v>
      </c>
      <c r="B20" s="19" t="s">
        <v>35</v>
      </c>
      <c r="C20" s="21" t="s">
        <v>6</v>
      </c>
      <c r="D20" s="21" t="s">
        <v>47</v>
      </c>
      <c r="E20" s="22" t="s">
        <v>48</v>
      </c>
      <c r="F20" s="8">
        <v>5.0</v>
      </c>
      <c r="G20" s="3"/>
      <c r="H20" s="2"/>
      <c r="I20" s="2"/>
      <c r="J20" s="2"/>
      <c r="K20" s="2"/>
    </row>
    <row r="21">
      <c r="A21" s="18" t="str">
        <f t="shared" si="1"/>
        <v>HUA20</v>
      </c>
      <c r="B21" s="39" t="s">
        <v>35</v>
      </c>
      <c r="C21" s="40" t="s">
        <v>6</v>
      </c>
      <c r="D21" s="40" t="s">
        <v>49</v>
      </c>
      <c r="E21" s="41" t="s">
        <v>50</v>
      </c>
      <c r="F21" s="8">
        <v>3.0</v>
      </c>
      <c r="G21" s="38" t="s">
        <v>40</v>
      </c>
      <c r="H21" s="2"/>
      <c r="I21" s="2"/>
      <c r="J21" s="2"/>
      <c r="K21" s="2"/>
    </row>
    <row r="22">
      <c r="A22" s="18" t="str">
        <f t="shared" si="1"/>
        <v>HUA21</v>
      </c>
      <c r="B22" s="39" t="s">
        <v>35</v>
      </c>
      <c r="C22" s="40" t="s">
        <v>6</v>
      </c>
      <c r="D22" s="40" t="s">
        <v>51</v>
      </c>
      <c r="E22" s="41" t="s">
        <v>52</v>
      </c>
      <c r="F22" s="8">
        <v>2.0</v>
      </c>
      <c r="G22" s="38"/>
      <c r="H22" s="2"/>
      <c r="I22" s="2"/>
      <c r="J22" s="2"/>
      <c r="K22" s="2"/>
    </row>
    <row r="23">
      <c r="A23" s="18" t="str">
        <f t="shared" si="1"/>
        <v>HUA22</v>
      </c>
      <c r="B23" s="39" t="s">
        <v>35</v>
      </c>
      <c r="C23" s="40" t="s">
        <v>6</v>
      </c>
      <c r="D23" s="40" t="s">
        <v>53</v>
      </c>
      <c r="E23" s="41" t="s">
        <v>54</v>
      </c>
      <c r="F23" s="8">
        <v>2.0</v>
      </c>
      <c r="G23" s="3"/>
      <c r="H23" s="2"/>
      <c r="I23" s="2"/>
      <c r="J23" s="2"/>
      <c r="K23" s="2"/>
    </row>
    <row r="24">
      <c r="A24" s="18" t="str">
        <f t="shared" si="1"/>
        <v>HUA23</v>
      </c>
      <c r="B24" s="39" t="s">
        <v>35</v>
      </c>
      <c r="C24" s="40" t="s">
        <v>6</v>
      </c>
      <c r="D24" s="40" t="s">
        <v>55</v>
      </c>
      <c r="E24" s="41" t="s">
        <v>56</v>
      </c>
      <c r="F24" s="42">
        <v>2.0</v>
      </c>
      <c r="G24" s="3"/>
      <c r="H24" s="2"/>
      <c r="I24" s="2"/>
      <c r="J24" s="2"/>
      <c r="K24" s="2"/>
    </row>
    <row r="25">
      <c r="A25" s="18" t="str">
        <f t="shared" si="1"/>
        <v>HUA24</v>
      </c>
      <c r="B25" s="39" t="s">
        <v>35</v>
      </c>
      <c r="C25" s="40" t="s">
        <v>6</v>
      </c>
      <c r="D25" s="40" t="s">
        <v>57</v>
      </c>
      <c r="E25" s="41" t="s">
        <v>58</v>
      </c>
      <c r="F25" s="8">
        <v>2.0</v>
      </c>
      <c r="G25" s="3"/>
      <c r="H25" s="2"/>
      <c r="I25" s="2"/>
      <c r="J25" s="2"/>
      <c r="K25" s="2"/>
    </row>
    <row r="26">
      <c r="A26" s="18" t="str">
        <f t="shared" si="1"/>
        <v>HUA25</v>
      </c>
      <c r="B26" s="39" t="s">
        <v>35</v>
      </c>
      <c r="C26" s="40" t="s">
        <v>6</v>
      </c>
      <c r="D26" s="40" t="s">
        <v>59</v>
      </c>
      <c r="E26" s="41" t="s">
        <v>60</v>
      </c>
      <c r="F26" s="8">
        <v>3.0</v>
      </c>
      <c r="G26" s="3"/>
      <c r="H26" s="2"/>
      <c r="I26" s="2"/>
      <c r="J26" s="2"/>
      <c r="K26" s="2"/>
    </row>
    <row r="27">
      <c r="A27" s="18" t="str">
        <f t="shared" si="1"/>
        <v>HUA26</v>
      </c>
      <c r="B27" s="39" t="s">
        <v>35</v>
      </c>
      <c r="C27" s="40" t="s">
        <v>6</v>
      </c>
      <c r="D27" s="40" t="s">
        <v>61</v>
      </c>
      <c r="E27" s="41" t="s">
        <v>62</v>
      </c>
      <c r="F27" s="8">
        <v>4.0</v>
      </c>
      <c r="G27" s="3"/>
      <c r="H27" s="2"/>
      <c r="I27" s="2"/>
      <c r="J27" s="2"/>
      <c r="K27" s="2"/>
    </row>
    <row r="28">
      <c r="A28" s="43" t="str">
        <f t="shared" si="1"/>
        <v>HUA27</v>
      </c>
      <c r="B28" s="44" t="s">
        <v>35</v>
      </c>
      <c r="C28" s="45" t="s">
        <v>6</v>
      </c>
      <c r="D28" s="45" t="s">
        <v>63</v>
      </c>
      <c r="E28" s="46" t="s">
        <v>64</v>
      </c>
      <c r="F28" s="8">
        <v>8.0</v>
      </c>
      <c r="G28" s="3"/>
      <c r="H28" s="2"/>
      <c r="I28" s="2"/>
      <c r="J28" s="2"/>
      <c r="K28" s="2"/>
    </row>
    <row r="29">
      <c r="A29" s="47" t="s">
        <v>65</v>
      </c>
      <c r="B29" s="48" t="s">
        <v>66</v>
      </c>
      <c r="C29" s="49" t="s">
        <v>6</v>
      </c>
      <c r="D29" s="49" t="s">
        <v>67</v>
      </c>
      <c r="E29" s="50" t="s">
        <v>68</v>
      </c>
      <c r="F29" s="8">
        <v>2.0</v>
      </c>
      <c r="G29" s="3"/>
      <c r="H29" s="2"/>
      <c r="I29" s="2"/>
      <c r="J29" s="2"/>
      <c r="K29" s="2"/>
    </row>
    <row r="30">
      <c r="A30" s="47" t="s">
        <v>69</v>
      </c>
      <c r="B30" s="48" t="s">
        <v>66</v>
      </c>
      <c r="C30" s="49" t="s">
        <v>6</v>
      </c>
      <c r="D30" s="49" t="s">
        <v>70</v>
      </c>
      <c r="E30" s="50" t="s">
        <v>71</v>
      </c>
      <c r="F30" s="8">
        <v>1.0</v>
      </c>
      <c r="G30" s="3"/>
      <c r="H30" s="2"/>
      <c r="I30" s="2"/>
      <c r="J30" s="2"/>
      <c r="K30" s="2"/>
    </row>
    <row r="31">
      <c r="A31" s="47" t="s">
        <v>72</v>
      </c>
      <c r="B31" s="48" t="s">
        <v>66</v>
      </c>
      <c r="C31" s="51" t="s">
        <v>6</v>
      </c>
      <c r="D31" s="49" t="s">
        <v>73</v>
      </c>
      <c r="E31" s="50" t="s">
        <v>74</v>
      </c>
      <c r="F31" s="8">
        <v>4.0</v>
      </c>
      <c r="G31" s="3"/>
      <c r="H31" s="2"/>
      <c r="I31" s="2"/>
      <c r="J31" s="2"/>
      <c r="K31" s="2"/>
    </row>
    <row r="32">
      <c r="A32" s="52" t="s">
        <v>75</v>
      </c>
      <c r="B32" s="53" t="s">
        <v>66</v>
      </c>
      <c r="C32" s="54" t="s">
        <v>6</v>
      </c>
      <c r="D32" s="54" t="s">
        <v>76</v>
      </c>
      <c r="E32" s="55" t="s">
        <v>77</v>
      </c>
      <c r="F32" s="8">
        <v>5.0</v>
      </c>
      <c r="G32" s="3"/>
      <c r="H32" s="2"/>
      <c r="I32" s="2"/>
      <c r="J32" s="2"/>
      <c r="K32" s="2"/>
    </row>
    <row r="33">
      <c r="A33" s="47" t="s">
        <v>78</v>
      </c>
      <c r="B33" s="48" t="s">
        <v>66</v>
      </c>
      <c r="C33" s="51" t="s">
        <v>6</v>
      </c>
      <c r="D33" s="49" t="s">
        <v>79</v>
      </c>
      <c r="E33" s="50" t="s">
        <v>80</v>
      </c>
      <c r="F33" s="8">
        <v>2.0</v>
      </c>
      <c r="G33" s="3"/>
      <c r="H33" s="2"/>
      <c r="I33" s="2"/>
      <c r="J33" s="2"/>
      <c r="K33" s="2"/>
    </row>
    <row r="34">
      <c r="A34" s="47" t="s">
        <v>81</v>
      </c>
      <c r="B34" s="48" t="s">
        <v>66</v>
      </c>
      <c r="C34" s="49" t="s">
        <v>6</v>
      </c>
      <c r="D34" s="49" t="s">
        <v>82</v>
      </c>
      <c r="E34" s="50" t="s">
        <v>83</v>
      </c>
      <c r="F34" s="8">
        <v>1.0</v>
      </c>
      <c r="G34" s="3"/>
      <c r="H34" s="2"/>
      <c r="I34" s="2"/>
      <c r="J34" s="2"/>
      <c r="K34" s="2"/>
    </row>
    <row r="35">
      <c r="A35" s="56" t="s">
        <v>84</v>
      </c>
      <c r="B35" s="57" t="s">
        <v>66</v>
      </c>
      <c r="C35" s="58" t="s">
        <v>6</v>
      </c>
      <c r="D35" s="58" t="s">
        <v>85</v>
      </c>
      <c r="E35" s="59" t="s">
        <v>86</v>
      </c>
      <c r="F35" s="8">
        <v>3.0</v>
      </c>
      <c r="G35" s="3"/>
      <c r="H35" s="2"/>
      <c r="I35" s="2"/>
      <c r="J35" s="2"/>
      <c r="K35" s="2"/>
    </row>
    <row r="36">
      <c r="A36" s="60" t="s">
        <v>87</v>
      </c>
      <c r="B36" s="61" t="s">
        <v>66</v>
      </c>
      <c r="C36" s="62" t="s">
        <v>6</v>
      </c>
      <c r="D36" s="62" t="s">
        <v>88</v>
      </c>
      <c r="E36" s="62" t="s">
        <v>89</v>
      </c>
      <c r="F36" s="8">
        <v>2.0</v>
      </c>
      <c r="G36" s="3"/>
      <c r="H36" s="2"/>
      <c r="I36" s="2"/>
      <c r="J36" s="2"/>
      <c r="K36" s="2"/>
    </row>
    <row r="37">
      <c r="A37" s="63" t="str">
        <f t="shared" ref="A37:A42" si="2">IF(ISNUMBER(SEARCH("Administrador", C37)), "HUA" &amp; TEXT(COUNTIF($C$2:C37, "*Administrador*"), "00"), "HUT" &amp; TEXT(COUNTIF($C$2:C37, "*Alumno*"), "00"))</f>
        <v>HUT01</v>
      </c>
      <c r="B37" s="64" t="s">
        <v>90</v>
      </c>
      <c r="C37" s="65" t="s">
        <v>91</v>
      </c>
      <c r="D37" s="65" t="s">
        <v>92</v>
      </c>
      <c r="E37" s="66" t="s">
        <v>93</v>
      </c>
      <c r="F37" s="8">
        <v>5.0</v>
      </c>
      <c r="G37" s="3"/>
      <c r="H37" s="2"/>
      <c r="I37" s="2"/>
      <c r="J37" s="2"/>
      <c r="K37" s="2"/>
    </row>
    <row r="38">
      <c r="A38" s="67" t="str">
        <f t="shared" si="2"/>
        <v>HUT02</v>
      </c>
      <c r="B38" s="68" t="s">
        <v>90</v>
      </c>
      <c r="C38" s="69" t="s">
        <v>91</v>
      </c>
      <c r="D38" s="69" t="s">
        <v>94</v>
      </c>
      <c r="E38" s="70" t="s">
        <v>95</v>
      </c>
      <c r="F38" s="8">
        <v>5.0</v>
      </c>
      <c r="G38" s="3"/>
      <c r="H38" s="2"/>
      <c r="I38" s="2"/>
      <c r="J38" s="2"/>
      <c r="K38" s="2"/>
    </row>
    <row r="39">
      <c r="A39" s="67" t="str">
        <f t="shared" si="2"/>
        <v>HUT03</v>
      </c>
      <c r="B39" s="68" t="s">
        <v>90</v>
      </c>
      <c r="C39" s="69" t="s">
        <v>91</v>
      </c>
      <c r="D39" s="69" t="s">
        <v>96</v>
      </c>
      <c r="E39" s="70" t="s">
        <v>97</v>
      </c>
      <c r="F39" s="8">
        <v>4.0</v>
      </c>
      <c r="G39" s="38" t="s">
        <v>40</v>
      </c>
      <c r="H39" s="2"/>
      <c r="I39" s="2"/>
      <c r="J39" s="2"/>
      <c r="K39" s="2"/>
    </row>
    <row r="40">
      <c r="A40" s="67" t="str">
        <f t="shared" si="2"/>
        <v>HUT04</v>
      </c>
      <c r="B40" s="68" t="s">
        <v>90</v>
      </c>
      <c r="C40" s="69" t="s">
        <v>91</v>
      </c>
      <c r="D40" s="69" t="s">
        <v>98</v>
      </c>
      <c r="E40" s="70" t="s">
        <v>99</v>
      </c>
      <c r="F40" s="8">
        <v>3.0</v>
      </c>
      <c r="G40" s="3"/>
      <c r="H40" s="2"/>
      <c r="I40" s="2"/>
      <c r="J40" s="2"/>
      <c r="K40" s="2"/>
    </row>
    <row r="41">
      <c r="A41" s="67" t="str">
        <f t="shared" si="2"/>
        <v>HUT05</v>
      </c>
      <c r="B41" s="68" t="s">
        <v>90</v>
      </c>
      <c r="C41" s="69" t="s">
        <v>91</v>
      </c>
      <c r="D41" s="69" t="s">
        <v>100</v>
      </c>
      <c r="E41" s="70" t="s">
        <v>101</v>
      </c>
      <c r="F41" s="8">
        <v>3.0</v>
      </c>
      <c r="G41" s="3"/>
      <c r="H41" s="2"/>
      <c r="I41" s="2"/>
      <c r="J41" s="2"/>
      <c r="K41" s="2"/>
    </row>
    <row r="42" ht="69.75" customHeight="1">
      <c r="A42" s="67" t="str">
        <f t="shared" si="2"/>
        <v>HUT06</v>
      </c>
      <c r="B42" s="68" t="s">
        <v>90</v>
      </c>
      <c r="C42" s="69" t="s">
        <v>91</v>
      </c>
      <c r="D42" s="69" t="s">
        <v>102</v>
      </c>
      <c r="E42" s="70" t="s">
        <v>103</v>
      </c>
      <c r="F42" s="8">
        <v>3.0</v>
      </c>
      <c r="G42" s="3"/>
      <c r="H42" s="2"/>
      <c r="I42" s="2"/>
      <c r="J42" s="2"/>
      <c r="K42" s="2"/>
    </row>
    <row r="43">
      <c r="A43" s="71"/>
      <c r="B43" s="72"/>
      <c r="C43" s="73"/>
      <c r="D43" s="73"/>
      <c r="E43" s="74"/>
      <c r="F43" s="2"/>
      <c r="G43" s="3"/>
      <c r="H43" s="2"/>
      <c r="I43" s="2"/>
      <c r="J43" s="2"/>
      <c r="K43" s="2"/>
    </row>
    <row r="44">
      <c r="A44" s="75"/>
      <c r="B44" s="75"/>
      <c r="C44" s="76"/>
      <c r="D44" s="76"/>
      <c r="E44" s="76"/>
      <c r="F44" s="2"/>
      <c r="G44" s="2"/>
      <c r="H44" s="2"/>
      <c r="I44" s="2"/>
      <c r="J44" s="2"/>
      <c r="K44" s="2"/>
    </row>
    <row r="45">
      <c r="A45" s="75"/>
      <c r="B45" s="75"/>
      <c r="C45" s="76"/>
      <c r="D45" s="76"/>
      <c r="E45" s="76"/>
      <c r="F45" s="2"/>
      <c r="G45" s="2"/>
      <c r="H45" s="2"/>
      <c r="I45" s="2"/>
      <c r="J45" s="2"/>
      <c r="K45" s="2"/>
    </row>
    <row r="46">
      <c r="A46" s="75"/>
      <c r="B46" s="75"/>
      <c r="C46" s="76"/>
      <c r="D46" s="76"/>
      <c r="E46" s="76"/>
      <c r="F46" s="2"/>
      <c r="G46" s="2"/>
      <c r="H46" s="2"/>
      <c r="I46" s="2"/>
      <c r="J46" s="2"/>
      <c r="K46" s="2"/>
    </row>
    <row r="47">
      <c r="A47" s="75"/>
      <c r="B47" s="75"/>
      <c r="C47" s="76"/>
      <c r="D47" s="76"/>
      <c r="E47" s="76"/>
      <c r="F47" s="2"/>
      <c r="G47" s="2"/>
      <c r="H47" s="2"/>
      <c r="I47" s="2"/>
      <c r="J47" s="2"/>
      <c r="K47" s="2"/>
    </row>
    <row r="48">
      <c r="A48" s="75"/>
      <c r="B48" s="75"/>
      <c r="C48" s="76"/>
      <c r="D48" s="76"/>
      <c r="E48" s="76"/>
      <c r="F48" s="2"/>
      <c r="G48" s="2"/>
      <c r="H48" s="2"/>
      <c r="I48" s="2"/>
      <c r="J48" s="2"/>
      <c r="K48" s="2"/>
    </row>
    <row r="49">
      <c r="A49" s="75"/>
      <c r="B49" s="75"/>
      <c r="C49" s="76"/>
      <c r="D49" s="76"/>
      <c r="E49" s="76"/>
      <c r="F49" s="2"/>
      <c r="G49" s="2"/>
      <c r="H49" s="2"/>
      <c r="I49" s="2"/>
      <c r="J49" s="2"/>
      <c r="K49" s="2"/>
    </row>
    <row r="50">
      <c r="A50" s="75"/>
      <c r="B50" s="75"/>
      <c r="C50" s="76"/>
      <c r="D50" s="76"/>
      <c r="E50" s="76"/>
      <c r="F50" s="2"/>
      <c r="G50" s="2"/>
      <c r="H50" s="2"/>
      <c r="I50" s="2"/>
      <c r="J50" s="2"/>
      <c r="K50" s="2"/>
    </row>
    <row r="51">
      <c r="A51" s="75"/>
      <c r="B51" s="75"/>
      <c r="C51" s="76"/>
      <c r="D51" s="76"/>
      <c r="E51" s="76"/>
      <c r="F51" s="2"/>
      <c r="G51" s="2"/>
      <c r="H51" s="2"/>
      <c r="I51" s="2"/>
      <c r="J51" s="2"/>
      <c r="K51" s="2"/>
    </row>
    <row r="52">
      <c r="A52" s="75"/>
      <c r="B52" s="75"/>
      <c r="C52" s="76"/>
      <c r="D52" s="76"/>
      <c r="E52" s="76"/>
      <c r="F52" s="2"/>
      <c r="G52" s="2"/>
      <c r="H52" s="2"/>
      <c r="I52" s="2"/>
      <c r="J52" s="2"/>
      <c r="K52" s="2"/>
    </row>
    <row r="53">
      <c r="A53" s="75"/>
      <c r="B53" s="75"/>
      <c r="C53" s="76"/>
      <c r="D53" s="76"/>
      <c r="E53" s="76"/>
      <c r="F53" s="2"/>
      <c r="G53" s="2"/>
      <c r="H53" s="2"/>
      <c r="I53" s="2"/>
      <c r="J53" s="2"/>
      <c r="K53" s="2"/>
    </row>
    <row r="54">
      <c r="A54" s="75"/>
      <c r="B54" s="75"/>
      <c r="C54" s="76"/>
      <c r="D54" s="76"/>
      <c r="E54" s="76"/>
      <c r="F54" s="2"/>
      <c r="G54" s="2"/>
      <c r="H54" s="2"/>
      <c r="I54" s="2"/>
      <c r="J54" s="2"/>
      <c r="K54" s="2"/>
    </row>
    <row r="55">
      <c r="A55" s="75"/>
      <c r="B55" s="75"/>
      <c r="C55" s="76"/>
      <c r="D55" s="76"/>
      <c r="E55" s="76"/>
      <c r="F55" s="2"/>
      <c r="G55" s="2"/>
      <c r="H55" s="2"/>
      <c r="I55" s="2"/>
      <c r="J55" s="2"/>
      <c r="K55" s="2"/>
    </row>
    <row r="56">
      <c r="A56" s="75"/>
      <c r="B56" s="75"/>
      <c r="C56" s="76"/>
      <c r="D56" s="76"/>
      <c r="E56" s="76"/>
      <c r="F56" s="2"/>
      <c r="G56" s="2"/>
      <c r="H56" s="2"/>
      <c r="I56" s="2"/>
      <c r="J56" s="2"/>
      <c r="K56" s="2"/>
    </row>
    <row r="57">
      <c r="A57" s="77"/>
      <c r="B57" s="77"/>
      <c r="C57" s="76"/>
      <c r="D57" s="76"/>
      <c r="E57" s="76"/>
    </row>
    <row r="58">
      <c r="A58" s="77"/>
      <c r="B58" s="77"/>
      <c r="C58" s="76"/>
      <c r="D58" s="76"/>
      <c r="E58" s="76"/>
    </row>
    <row r="59">
      <c r="A59" s="77"/>
      <c r="B59" s="77"/>
      <c r="C59" s="76"/>
      <c r="D59" s="76"/>
      <c r="E59" s="76"/>
    </row>
    <row r="60">
      <c r="A60" s="77"/>
      <c r="B60" s="77"/>
      <c r="C60" s="76"/>
      <c r="D60" s="76"/>
      <c r="E60" s="76"/>
    </row>
    <row r="61">
      <c r="C61" s="78"/>
      <c r="D61" s="78"/>
      <c r="E61" s="78"/>
    </row>
  </sheetData>
  <drawing r:id="rId1"/>
</worksheet>
</file>